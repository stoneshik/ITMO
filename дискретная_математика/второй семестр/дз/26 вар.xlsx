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niversity\discra\2 сем\дз\"/>
    </mc:Choice>
  </mc:AlternateContent>
  <xr:revisionPtr revIDLastSave="0" documentId="13_ncr:1_{7AAA4AA4-77D5-4027-972F-598897A94F3F}" xr6:coauthVersionLast="47" xr6:coauthVersionMax="47" xr10:uidLastSave="{00000000-0000-0000-0000-000000000000}"/>
  <bookViews>
    <workbookView xWindow="-3520" yWindow="440" windowWidth="10360" windowHeight="10200" xr2:uid="{00000000-000D-0000-FFFF-FFFF00000000}"/>
  </bookViews>
  <sheets>
    <sheet name="Лист1" sheetId="1" r:id="rId1"/>
    <sheet name="Лист4" sheetId="4" r:id="rId2"/>
    <sheet name="Лист2" sheetId="2" r:id="rId3"/>
    <sheet name="Лист3" sheetId="3" r:id="rId4"/>
    <sheet name="резерв" sheetId="5" r:id="rId5"/>
    <sheet name="Лист6" sheetId="6" r:id="rId6"/>
    <sheet name="Лист5" sheetId="7" r:id="rId7"/>
    <sheet name="Лист7" sheetId="8" r:id="rId8"/>
    <sheet name="Лист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4" i="9" l="1"/>
  <c r="R17" i="9"/>
  <c r="Q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B17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2" i="9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B2" i="8"/>
  <c r="A16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2" i="8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B1" i="8"/>
  <c r="U17" i="7"/>
  <c r="T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B17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2" i="7"/>
  <c r="A10" i="3"/>
  <c r="A11" i="3"/>
  <c r="A12" i="3"/>
  <c r="A13" i="3"/>
  <c r="A2" i="3"/>
  <c r="A3" i="3"/>
  <c r="A4" i="3"/>
  <c r="A5" i="3"/>
  <c r="A6" i="3"/>
  <c r="A7" i="3"/>
  <c r="A8" i="3"/>
  <c r="T2" i="3"/>
  <c r="T17" i="3"/>
  <c r="C31" i="3"/>
  <c r="D31" i="3"/>
  <c r="E31" i="3"/>
  <c r="F31" i="3"/>
  <c r="G31" i="3"/>
  <c r="H31" i="3"/>
  <c r="I31" i="3"/>
  <c r="J31" i="3"/>
  <c r="K31" i="3"/>
  <c r="L31" i="3"/>
  <c r="M31" i="3"/>
  <c r="B31" i="3"/>
  <c r="Q13" i="3"/>
  <c r="Q17" i="3"/>
  <c r="O18" i="3"/>
  <c r="O19" i="3"/>
  <c r="O20" i="3"/>
  <c r="O21" i="3"/>
  <c r="O22" i="3"/>
  <c r="O23" i="3"/>
  <c r="O24" i="3"/>
  <c r="O25" i="3"/>
  <c r="O26" i="3"/>
  <c r="O27" i="3"/>
  <c r="O28" i="3"/>
  <c r="O17" i="3"/>
  <c r="O3" i="3"/>
  <c r="O4" i="3"/>
  <c r="O5" i="3"/>
  <c r="O6" i="3"/>
  <c r="O7" i="3"/>
  <c r="O8" i="3"/>
  <c r="O9" i="3"/>
  <c r="O10" i="3"/>
  <c r="O11" i="3"/>
  <c r="O12" i="3"/>
  <c r="O13" i="3"/>
  <c r="O2" i="3"/>
  <c r="A9" i="3"/>
  <c r="L13" i="3"/>
  <c r="K13" i="3"/>
  <c r="J13" i="3"/>
  <c r="I13" i="3"/>
  <c r="H13" i="3"/>
  <c r="G13" i="3"/>
  <c r="F13" i="3"/>
  <c r="E13" i="3"/>
  <c r="D13" i="3"/>
  <c r="C13" i="3"/>
  <c r="B13" i="3"/>
  <c r="M12" i="3"/>
  <c r="K12" i="3"/>
  <c r="J12" i="3"/>
  <c r="I12" i="3"/>
  <c r="H12" i="3"/>
  <c r="G12" i="3"/>
  <c r="F12" i="3"/>
  <c r="E12" i="3"/>
  <c r="D12" i="3"/>
  <c r="C12" i="3"/>
  <c r="B12" i="3"/>
  <c r="M11" i="3"/>
  <c r="L11" i="3"/>
  <c r="J11" i="3"/>
  <c r="I11" i="3"/>
  <c r="H11" i="3"/>
  <c r="G11" i="3"/>
  <c r="F11" i="3"/>
  <c r="E11" i="3"/>
  <c r="D11" i="3"/>
  <c r="C11" i="3"/>
  <c r="B11" i="3"/>
  <c r="M10" i="3"/>
  <c r="L10" i="3"/>
  <c r="K10" i="3"/>
  <c r="I10" i="3"/>
  <c r="H10" i="3"/>
  <c r="G10" i="3"/>
  <c r="F10" i="3"/>
  <c r="E10" i="3"/>
  <c r="D10" i="3"/>
  <c r="C10" i="3"/>
  <c r="B10" i="3"/>
  <c r="M9" i="3"/>
  <c r="L9" i="3"/>
  <c r="K9" i="3"/>
  <c r="J9" i="3"/>
  <c r="H9" i="3"/>
  <c r="G9" i="3"/>
  <c r="F9" i="3"/>
  <c r="E9" i="3"/>
  <c r="D9" i="3"/>
  <c r="C9" i="3"/>
  <c r="B9" i="3"/>
  <c r="M8" i="3"/>
  <c r="L8" i="3"/>
  <c r="K8" i="3"/>
  <c r="J8" i="3"/>
  <c r="I8" i="3"/>
  <c r="G8" i="3"/>
  <c r="F8" i="3"/>
  <c r="E8" i="3"/>
  <c r="D8" i="3"/>
  <c r="C8" i="3"/>
  <c r="B8" i="3"/>
  <c r="M7" i="3"/>
  <c r="L7" i="3"/>
  <c r="K7" i="3"/>
  <c r="J7" i="3"/>
  <c r="I7" i="3"/>
  <c r="H7" i="3"/>
  <c r="F7" i="3"/>
  <c r="E7" i="3"/>
  <c r="D7" i="3"/>
  <c r="C7" i="3"/>
  <c r="B7" i="3"/>
  <c r="M6" i="3"/>
  <c r="L6" i="3"/>
  <c r="K6" i="3"/>
  <c r="J6" i="3"/>
  <c r="I6" i="3"/>
  <c r="H6" i="3"/>
  <c r="G6" i="3"/>
  <c r="E6" i="3"/>
  <c r="D6" i="3"/>
  <c r="C6" i="3"/>
  <c r="B6" i="3"/>
  <c r="M5" i="3"/>
  <c r="L5" i="3"/>
  <c r="K5" i="3"/>
  <c r="J5" i="3"/>
  <c r="I5" i="3"/>
  <c r="H5" i="3"/>
  <c r="G5" i="3"/>
  <c r="F5" i="3"/>
  <c r="D5" i="3"/>
  <c r="C5" i="3"/>
  <c r="B5" i="3"/>
  <c r="M4" i="3"/>
  <c r="L4" i="3"/>
  <c r="K4" i="3"/>
  <c r="J4" i="3"/>
  <c r="I4" i="3"/>
  <c r="H4" i="3"/>
  <c r="G4" i="3"/>
  <c r="F4" i="3"/>
  <c r="E4" i="3"/>
  <c r="C4" i="3"/>
  <c r="B4" i="3"/>
  <c r="M3" i="3"/>
  <c r="L3" i="3"/>
  <c r="K3" i="3"/>
  <c r="J3" i="3"/>
  <c r="I3" i="3"/>
  <c r="H3" i="3"/>
  <c r="G3" i="3"/>
  <c r="F3" i="3"/>
  <c r="E3" i="3"/>
  <c r="D3" i="3"/>
  <c r="B3" i="3"/>
  <c r="M2" i="3"/>
  <c r="L2" i="3"/>
  <c r="K2" i="3"/>
  <c r="J2" i="3"/>
  <c r="I2" i="3"/>
  <c r="H2" i="3"/>
  <c r="G2" i="3"/>
  <c r="F2" i="3"/>
  <c r="E2" i="3"/>
  <c r="D2" i="3"/>
  <c r="C2" i="3"/>
  <c r="M1" i="3"/>
  <c r="L1" i="3"/>
  <c r="K1" i="3"/>
  <c r="J1" i="3"/>
  <c r="I1" i="3"/>
  <c r="H1" i="3"/>
  <c r="G1" i="3"/>
  <c r="F1" i="3"/>
  <c r="E1" i="3"/>
  <c r="D1" i="3"/>
  <c r="C1" i="3"/>
  <c r="B1" i="3"/>
  <c r="B1" i="6"/>
  <c r="C1" i="6"/>
  <c r="D1" i="6"/>
  <c r="E1" i="6"/>
  <c r="A3" i="6"/>
  <c r="A4" i="6"/>
  <c r="A5" i="6"/>
  <c r="A6" i="6"/>
  <c r="A7" i="6"/>
  <c r="A8" i="6"/>
  <c r="A9" i="6"/>
  <c r="A10" i="6"/>
  <c r="A11" i="6"/>
  <c r="A12" i="6"/>
  <c r="A13" i="6"/>
  <c r="A2" i="6"/>
  <c r="F1" i="6"/>
  <c r="G1" i="6"/>
  <c r="H1" i="6"/>
  <c r="I1" i="6"/>
  <c r="J1" i="6"/>
  <c r="K1" i="6"/>
  <c r="L1" i="6"/>
  <c r="M1" i="6"/>
  <c r="B3" i="6"/>
  <c r="C3" i="6"/>
  <c r="D3" i="6"/>
  <c r="E3" i="6"/>
  <c r="F3" i="6"/>
  <c r="G3" i="6"/>
  <c r="H3" i="6"/>
  <c r="I3" i="6"/>
  <c r="J3" i="6"/>
  <c r="K3" i="6"/>
  <c r="L3" i="6"/>
  <c r="M3" i="6"/>
  <c r="B4" i="6"/>
  <c r="C4" i="6"/>
  <c r="D4" i="6"/>
  <c r="E4" i="6"/>
  <c r="F4" i="6"/>
  <c r="G4" i="6"/>
  <c r="H4" i="6"/>
  <c r="I4" i="6"/>
  <c r="J4" i="6"/>
  <c r="K4" i="6"/>
  <c r="L4" i="6"/>
  <c r="M4" i="6"/>
  <c r="B5" i="6"/>
  <c r="C5" i="6"/>
  <c r="D5" i="6"/>
  <c r="E5" i="6"/>
  <c r="F5" i="6"/>
  <c r="G5" i="6"/>
  <c r="H5" i="6"/>
  <c r="I5" i="6"/>
  <c r="J5" i="6"/>
  <c r="K5" i="6"/>
  <c r="L5" i="6"/>
  <c r="M5" i="6"/>
  <c r="B6" i="6"/>
  <c r="C6" i="6"/>
  <c r="D6" i="6"/>
  <c r="E6" i="6"/>
  <c r="F6" i="6"/>
  <c r="G6" i="6"/>
  <c r="H6" i="6"/>
  <c r="I6" i="6"/>
  <c r="J6" i="6"/>
  <c r="K6" i="6"/>
  <c r="L6" i="6"/>
  <c r="M6" i="6"/>
  <c r="B7" i="6"/>
  <c r="C7" i="6"/>
  <c r="D7" i="6"/>
  <c r="E7" i="6"/>
  <c r="F7" i="6"/>
  <c r="G7" i="6"/>
  <c r="H7" i="6"/>
  <c r="I7" i="6"/>
  <c r="J7" i="6"/>
  <c r="K7" i="6"/>
  <c r="L7" i="6"/>
  <c r="M7" i="6"/>
  <c r="B8" i="6"/>
  <c r="C8" i="6"/>
  <c r="D8" i="6"/>
  <c r="E8" i="6"/>
  <c r="F8" i="6"/>
  <c r="G8" i="6"/>
  <c r="H8" i="6"/>
  <c r="I8" i="6"/>
  <c r="J8" i="6"/>
  <c r="K8" i="6"/>
  <c r="L8" i="6"/>
  <c r="M8" i="6"/>
  <c r="B9" i="6"/>
  <c r="C9" i="6"/>
  <c r="D9" i="6"/>
  <c r="E9" i="6"/>
  <c r="F9" i="6"/>
  <c r="G9" i="6"/>
  <c r="H9" i="6"/>
  <c r="I9" i="6"/>
  <c r="J9" i="6"/>
  <c r="K9" i="6"/>
  <c r="L9" i="6"/>
  <c r="M9" i="6"/>
  <c r="B10" i="6"/>
  <c r="C10" i="6"/>
  <c r="D10" i="6"/>
  <c r="E10" i="6"/>
  <c r="F10" i="6"/>
  <c r="G10" i="6"/>
  <c r="H10" i="6"/>
  <c r="I10" i="6"/>
  <c r="J10" i="6"/>
  <c r="K10" i="6"/>
  <c r="L10" i="6"/>
  <c r="M10" i="6"/>
  <c r="B11" i="6"/>
  <c r="C11" i="6"/>
  <c r="D11" i="6"/>
  <c r="E11" i="6"/>
  <c r="F11" i="6"/>
  <c r="G11" i="6"/>
  <c r="H11" i="6"/>
  <c r="I11" i="6"/>
  <c r="J11" i="6"/>
  <c r="K11" i="6"/>
  <c r="L11" i="6"/>
  <c r="M11" i="6"/>
  <c r="B12" i="6"/>
  <c r="C12" i="6"/>
  <c r="D12" i="6"/>
  <c r="E12" i="6"/>
  <c r="F12" i="6"/>
  <c r="G12" i="6"/>
  <c r="H12" i="6"/>
  <c r="I12" i="6"/>
  <c r="J12" i="6"/>
  <c r="K12" i="6"/>
  <c r="L12" i="6"/>
  <c r="M12" i="6"/>
  <c r="B13" i="6"/>
  <c r="C13" i="6"/>
  <c r="D13" i="6"/>
  <c r="E13" i="6"/>
  <c r="F13" i="6"/>
  <c r="G13" i="6"/>
  <c r="H13" i="6"/>
  <c r="I13" i="6"/>
  <c r="J13" i="6"/>
  <c r="K13" i="6"/>
  <c r="L13" i="6"/>
  <c r="M13" i="6"/>
  <c r="C2" i="6"/>
  <c r="D2" i="6"/>
  <c r="E2" i="6"/>
  <c r="F2" i="6"/>
  <c r="G2" i="6"/>
  <c r="H2" i="6"/>
  <c r="I2" i="6"/>
  <c r="J2" i="6"/>
  <c r="K2" i="6"/>
  <c r="L2" i="6"/>
  <c r="M2" i="6"/>
  <c r="B2" i="6"/>
  <c r="O6" i="4"/>
  <c r="O3" i="4"/>
  <c r="O4" i="4"/>
  <c r="O5" i="4"/>
  <c r="O7" i="4"/>
  <c r="O8" i="4"/>
  <c r="O9" i="4"/>
  <c r="O10" i="4"/>
  <c r="O11" i="4"/>
  <c r="O12" i="4"/>
  <c r="O13" i="4"/>
  <c r="O2" i="4"/>
  <c r="B3" i="4"/>
  <c r="C3" i="4"/>
  <c r="D3" i="4"/>
  <c r="E3" i="4"/>
  <c r="F3" i="4"/>
  <c r="G3" i="4"/>
  <c r="H3" i="4"/>
  <c r="I3" i="4"/>
  <c r="J3" i="4"/>
  <c r="K3" i="4"/>
  <c r="L3" i="4"/>
  <c r="M3" i="4"/>
  <c r="B4" i="4"/>
  <c r="C4" i="4"/>
  <c r="D4" i="4"/>
  <c r="E4" i="4"/>
  <c r="F4" i="4"/>
  <c r="G4" i="4"/>
  <c r="H4" i="4"/>
  <c r="I4" i="4"/>
  <c r="J4" i="4"/>
  <c r="K4" i="4"/>
  <c r="L4" i="4"/>
  <c r="M4" i="4"/>
  <c r="B5" i="4"/>
  <c r="C5" i="4"/>
  <c r="D5" i="4"/>
  <c r="E5" i="4"/>
  <c r="F5" i="4"/>
  <c r="G5" i="4"/>
  <c r="H5" i="4"/>
  <c r="I5" i="4"/>
  <c r="J5" i="4"/>
  <c r="K5" i="4"/>
  <c r="L5" i="4"/>
  <c r="M5" i="4"/>
  <c r="B6" i="4"/>
  <c r="C6" i="4"/>
  <c r="D6" i="4"/>
  <c r="E6" i="4"/>
  <c r="F6" i="4"/>
  <c r="G6" i="4"/>
  <c r="H6" i="4"/>
  <c r="I6" i="4"/>
  <c r="J6" i="4"/>
  <c r="K6" i="4"/>
  <c r="L6" i="4"/>
  <c r="M6" i="4"/>
  <c r="B7" i="4"/>
  <c r="C7" i="4"/>
  <c r="D7" i="4"/>
  <c r="E7" i="4"/>
  <c r="F7" i="4"/>
  <c r="G7" i="4"/>
  <c r="H7" i="4"/>
  <c r="I7" i="4"/>
  <c r="J7" i="4"/>
  <c r="K7" i="4"/>
  <c r="L7" i="4"/>
  <c r="M7" i="4"/>
  <c r="B8" i="4"/>
  <c r="C8" i="4"/>
  <c r="D8" i="4"/>
  <c r="E8" i="4"/>
  <c r="F8" i="4"/>
  <c r="G8" i="4"/>
  <c r="H8" i="4"/>
  <c r="I8" i="4"/>
  <c r="J8" i="4"/>
  <c r="K8" i="4"/>
  <c r="L8" i="4"/>
  <c r="M8" i="4"/>
  <c r="B9" i="4"/>
  <c r="C9" i="4"/>
  <c r="D9" i="4"/>
  <c r="E9" i="4"/>
  <c r="F9" i="4"/>
  <c r="G9" i="4"/>
  <c r="H9" i="4"/>
  <c r="I9" i="4"/>
  <c r="J9" i="4"/>
  <c r="K9" i="4"/>
  <c r="L9" i="4"/>
  <c r="M9" i="4"/>
  <c r="B10" i="4"/>
  <c r="C10" i="4"/>
  <c r="D10" i="4"/>
  <c r="E10" i="4"/>
  <c r="F10" i="4"/>
  <c r="G10" i="4"/>
  <c r="H10" i="4"/>
  <c r="I10" i="4"/>
  <c r="J10" i="4"/>
  <c r="K10" i="4"/>
  <c r="L10" i="4"/>
  <c r="M10" i="4"/>
  <c r="B11" i="4"/>
  <c r="C11" i="4"/>
  <c r="D11" i="4"/>
  <c r="E11" i="4"/>
  <c r="F11" i="4"/>
  <c r="G11" i="4"/>
  <c r="H11" i="4"/>
  <c r="I11" i="4"/>
  <c r="J11" i="4"/>
  <c r="K11" i="4"/>
  <c r="L11" i="4"/>
  <c r="M11" i="4"/>
  <c r="B12" i="4"/>
  <c r="C12" i="4"/>
  <c r="D12" i="4"/>
  <c r="E12" i="4"/>
  <c r="F12" i="4"/>
  <c r="G12" i="4"/>
  <c r="H12" i="4"/>
  <c r="I12" i="4"/>
  <c r="J12" i="4"/>
  <c r="K12" i="4"/>
  <c r="L12" i="4"/>
  <c r="M12" i="4"/>
  <c r="B13" i="4"/>
  <c r="C13" i="4"/>
  <c r="D13" i="4"/>
  <c r="E13" i="4"/>
  <c r="F13" i="4"/>
  <c r="G13" i="4"/>
  <c r="H13" i="4"/>
  <c r="I13" i="4"/>
  <c r="J13" i="4"/>
  <c r="K13" i="4"/>
  <c r="L13" i="4"/>
  <c r="M13" i="4"/>
  <c r="C2" i="4"/>
  <c r="D2" i="4"/>
  <c r="E2" i="4"/>
  <c r="F2" i="4"/>
  <c r="G2" i="4"/>
  <c r="H2" i="4"/>
  <c r="I2" i="4"/>
  <c r="J2" i="4"/>
  <c r="K2" i="4"/>
  <c r="L2" i="4"/>
  <c r="M2" i="4"/>
  <c r="B2" i="4"/>
  <c r="M1" i="4"/>
  <c r="C1" i="4"/>
  <c r="D1" i="4"/>
  <c r="E1" i="4"/>
  <c r="F1" i="4"/>
  <c r="G1" i="4"/>
  <c r="H1" i="4"/>
  <c r="I1" i="4"/>
  <c r="J1" i="4"/>
  <c r="K1" i="4"/>
  <c r="L1" i="4"/>
  <c r="B1" i="4"/>
  <c r="A3" i="4"/>
  <c r="A4" i="4"/>
  <c r="A5" i="4"/>
  <c r="A6" i="4"/>
  <c r="A7" i="4"/>
  <c r="A8" i="4"/>
  <c r="A9" i="4"/>
  <c r="A10" i="4"/>
  <c r="A11" i="4"/>
  <c r="A12" i="4"/>
  <c r="A13" i="4"/>
  <c r="A2" i="4"/>
  <c r="O30" i="2"/>
  <c r="O31" i="2"/>
  <c r="O32" i="2"/>
  <c r="O33" i="2"/>
  <c r="O34" i="2"/>
  <c r="O29" i="2"/>
  <c r="O18" i="2"/>
  <c r="O19" i="2"/>
  <c r="O20" i="2"/>
  <c r="O21" i="2"/>
  <c r="O22" i="2"/>
  <c r="O23" i="2"/>
  <c r="O24" i="2"/>
  <c r="O25" i="2"/>
  <c r="O17" i="2"/>
  <c r="B3" i="2"/>
  <c r="O3" i="2" s="1"/>
  <c r="D3" i="2"/>
  <c r="E3" i="2"/>
  <c r="F3" i="2"/>
  <c r="G3" i="2"/>
  <c r="H3" i="2"/>
  <c r="I3" i="2"/>
  <c r="J3" i="2"/>
  <c r="K3" i="2"/>
  <c r="L3" i="2"/>
  <c r="M3" i="2"/>
  <c r="B4" i="2"/>
  <c r="C4" i="2"/>
  <c r="E4" i="2"/>
  <c r="F4" i="2"/>
  <c r="G4" i="2"/>
  <c r="O4" i="2" s="1"/>
  <c r="H4" i="2"/>
  <c r="I4" i="2"/>
  <c r="J4" i="2"/>
  <c r="K4" i="2"/>
  <c r="L4" i="2"/>
  <c r="M4" i="2"/>
  <c r="B5" i="2"/>
  <c r="C5" i="2"/>
  <c r="D5" i="2"/>
  <c r="F5" i="2"/>
  <c r="G5" i="2"/>
  <c r="H5" i="2"/>
  <c r="I5" i="2"/>
  <c r="J5" i="2"/>
  <c r="K5" i="2"/>
  <c r="L5" i="2"/>
  <c r="M5" i="2"/>
  <c r="B6" i="2"/>
  <c r="O6" i="2" s="1"/>
  <c r="C6" i="2"/>
  <c r="D6" i="2"/>
  <c r="E6" i="2"/>
  <c r="G6" i="2"/>
  <c r="H6" i="2"/>
  <c r="I6" i="2"/>
  <c r="J6" i="2"/>
  <c r="K6" i="2"/>
  <c r="L6" i="2"/>
  <c r="M6" i="2"/>
  <c r="B7" i="2"/>
  <c r="O7" i="2" s="1"/>
  <c r="C7" i="2"/>
  <c r="D7" i="2"/>
  <c r="E7" i="2"/>
  <c r="F7" i="2"/>
  <c r="H7" i="2"/>
  <c r="I7" i="2"/>
  <c r="J7" i="2"/>
  <c r="K7" i="2"/>
  <c r="L7" i="2"/>
  <c r="M7" i="2"/>
  <c r="B8" i="2"/>
  <c r="C8" i="2"/>
  <c r="D8" i="2"/>
  <c r="O8" i="2" s="1"/>
  <c r="E8" i="2"/>
  <c r="F8" i="2"/>
  <c r="G8" i="2"/>
  <c r="I8" i="2"/>
  <c r="J8" i="2"/>
  <c r="K8" i="2"/>
  <c r="L8" i="2"/>
  <c r="M8" i="2"/>
  <c r="B9" i="2"/>
  <c r="O9" i="2" s="1"/>
  <c r="C9" i="2"/>
  <c r="D9" i="2"/>
  <c r="E9" i="2"/>
  <c r="F9" i="2"/>
  <c r="G9" i="2"/>
  <c r="H9" i="2"/>
  <c r="J9" i="2"/>
  <c r="K9" i="2"/>
  <c r="L9" i="2"/>
  <c r="M9" i="2"/>
  <c r="B10" i="2"/>
  <c r="C10" i="2"/>
  <c r="D10" i="2"/>
  <c r="E10" i="2"/>
  <c r="O10" i="2" s="1"/>
  <c r="F10" i="2"/>
  <c r="G10" i="2"/>
  <c r="H10" i="2"/>
  <c r="I10" i="2"/>
  <c r="K10" i="2"/>
  <c r="L10" i="2"/>
  <c r="M10" i="2"/>
  <c r="B11" i="2"/>
  <c r="O11" i="2" s="1"/>
  <c r="C11" i="2"/>
  <c r="D11" i="2"/>
  <c r="E11" i="2"/>
  <c r="F11" i="2"/>
  <c r="G11" i="2"/>
  <c r="H11" i="2"/>
  <c r="I11" i="2"/>
  <c r="J11" i="2"/>
  <c r="L11" i="2"/>
  <c r="M11" i="2"/>
  <c r="B12" i="2"/>
  <c r="C12" i="2"/>
  <c r="D12" i="2"/>
  <c r="E12" i="2"/>
  <c r="F12" i="2"/>
  <c r="G12" i="2"/>
  <c r="O12" i="2" s="1"/>
  <c r="H12" i="2"/>
  <c r="I12" i="2"/>
  <c r="J12" i="2"/>
  <c r="K12" i="2"/>
  <c r="M12" i="2"/>
  <c r="B13" i="2"/>
  <c r="C13" i="2"/>
  <c r="O13" i="2" s="1"/>
  <c r="D13" i="2"/>
  <c r="E13" i="2"/>
  <c r="F13" i="2"/>
  <c r="G13" i="2"/>
  <c r="H13" i="2"/>
  <c r="I13" i="2"/>
  <c r="J13" i="2"/>
  <c r="K13" i="2"/>
  <c r="L13" i="2"/>
  <c r="O2" i="2"/>
  <c r="C2" i="2"/>
  <c r="D2" i="2"/>
  <c r="E2" i="2"/>
  <c r="F2" i="2"/>
  <c r="G2" i="2"/>
  <c r="H2" i="2"/>
  <c r="I2" i="2"/>
  <c r="J2" i="2"/>
  <c r="K2" i="2"/>
  <c r="L2" i="2"/>
  <c r="O5" i="2"/>
  <c r="M2" i="2"/>
  <c r="A3" i="2"/>
  <c r="A4" i="2"/>
  <c r="A5" i="2"/>
  <c r="A6" i="2"/>
  <c r="A7" i="2"/>
  <c r="A8" i="2"/>
  <c r="A9" i="2"/>
  <c r="A10" i="2"/>
  <c r="A11" i="2"/>
  <c r="A12" i="2"/>
  <c r="A13" i="2"/>
  <c r="A2" i="2"/>
  <c r="C1" i="2"/>
  <c r="D1" i="2"/>
  <c r="E1" i="2"/>
  <c r="F1" i="2"/>
  <c r="G1" i="2"/>
  <c r="H1" i="2"/>
  <c r="I1" i="2"/>
  <c r="J1" i="2"/>
  <c r="K1" i="2"/>
  <c r="L1" i="2"/>
  <c r="M1" i="2"/>
  <c r="B1" i="2"/>
</calcChain>
</file>

<file path=xl/sharedStrings.xml><?xml version="1.0" encoding="utf-8"?>
<sst xmlns="http://schemas.openxmlformats.org/spreadsheetml/2006/main" count="285" uniqueCount="41">
  <si>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</si>
  <si>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</si>
  <si>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</si>
  <si>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</si>
  <si>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</si>
  <si>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</si>
  <si>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</si>
  <si>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</si>
  <si>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</si>
  <si>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</si>
  <si>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</si>
  <si>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</si>
  <si>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ri</t>
  </si>
  <si>
    <t>x1</t>
  </si>
  <si>
    <t>x3</t>
  </si>
  <si>
    <t>x8</t>
  </si>
  <si>
    <t>x7</t>
  </si>
  <si>
    <t>x2</t>
  </si>
  <si>
    <t>x4</t>
  </si>
  <si>
    <t>x9</t>
  </si>
  <si>
    <t>x11</t>
  </si>
  <si>
    <t>x12</t>
  </si>
  <si>
    <t>x5</t>
  </si>
  <si>
    <t>x6</t>
  </si>
  <si>
    <t>x10</t>
  </si>
  <si>
    <t>p1 4</t>
  </si>
  <si>
    <t>p2 12</t>
  </si>
  <si>
    <t>p1 5</t>
  </si>
  <si>
    <t>p1 6</t>
  </si>
  <si>
    <t>p1 9</t>
  </si>
  <si>
    <t>p1 10</t>
  </si>
  <si>
    <t>p1 11</t>
  </si>
  <si>
    <t>p2 11</t>
  </si>
  <si>
    <t>p2 10</t>
  </si>
  <si>
    <t>p2 9</t>
  </si>
  <si>
    <t>p2 8</t>
  </si>
  <si>
    <t>p2 6</t>
  </si>
  <si>
    <t>p2 5</t>
  </si>
  <si>
    <t>p3 10</t>
  </si>
  <si>
    <t>p3 7</t>
  </si>
  <si>
    <t>p 1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</si>
</sst>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O6" sqref="O6"/>
    </sheetView>
  </sheetViews>
  <sheetFormatPr defaultRowHeight="14.5" x14ac:dyDescent="0.35"/>
  <cols>
    <col min="1" max="13" width="3.6328125" customWidth="1"/>
  </cols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s="3" t="s">
        <v>0</v>
      </c>
      <c r="B2">
        <v>0</v>
      </c>
      <c r="D2">
        <v>2</v>
      </c>
      <c r="E2">
        <v>3</v>
      </c>
      <c r="G2">
        <v>3</v>
      </c>
      <c r="H2">
        <v>4</v>
      </c>
      <c r="I2">
        <v>1</v>
      </c>
      <c r="J2">
        <v>5</v>
      </c>
      <c r="L2">
        <v>1</v>
      </c>
      <c r="M2">
        <v>4</v>
      </c>
    </row>
    <row r="3" spans="1:13" x14ac:dyDescent="0.35">
      <c r="A3" s="2" t="s">
        <v>1</v>
      </c>
      <c r="C3">
        <v>0</v>
      </c>
      <c r="D3">
        <v>5</v>
      </c>
      <c r="H3">
        <v>2</v>
      </c>
      <c r="I3">
        <v>2</v>
      </c>
      <c r="J3">
        <v>5</v>
      </c>
      <c r="K3">
        <v>1</v>
      </c>
    </row>
    <row r="4" spans="1:13" x14ac:dyDescent="0.35">
      <c r="A4" s="3" t="s">
        <v>2</v>
      </c>
      <c r="B4">
        <v>2</v>
      </c>
      <c r="C4">
        <v>5</v>
      </c>
      <c r="D4">
        <v>0</v>
      </c>
      <c r="E4">
        <v>1</v>
      </c>
      <c r="F4">
        <v>5</v>
      </c>
      <c r="G4">
        <v>3</v>
      </c>
      <c r="I4">
        <v>2</v>
      </c>
      <c r="J4">
        <v>1</v>
      </c>
      <c r="L4">
        <v>4</v>
      </c>
      <c r="M4">
        <v>4</v>
      </c>
    </row>
    <row r="5" spans="1:13" x14ac:dyDescent="0.35">
      <c r="A5" s="12" t="s">
        <v>3</v>
      </c>
      <c r="B5">
        <v>3</v>
      </c>
      <c r="D5">
        <v>1</v>
      </c>
      <c r="E5">
        <v>0</v>
      </c>
      <c r="F5">
        <v>4</v>
      </c>
      <c r="I5">
        <v>1</v>
      </c>
      <c r="J5">
        <v>2</v>
      </c>
    </row>
    <row r="6" spans="1:13" x14ac:dyDescent="0.35">
      <c r="A6" s="3" t="s">
        <v>4</v>
      </c>
      <c r="D6">
        <v>5</v>
      </c>
      <c r="E6">
        <v>4</v>
      </c>
      <c r="F6">
        <v>0</v>
      </c>
      <c r="H6">
        <v>5</v>
      </c>
      <c r="K6">
        <v>4</v>
      </c>
    </row>
    <row r="7" spans="1:13" x14ac:dyDescent="0.35">
      <c r="A7" s="12" t="s">
        <v>5</v>
      </c>
      <c r="B7">
        <v>3</v>
      </c>
      <c r="D7">
        <v>3</v>
      </c>
      <c r="G7">
        <v>0</v>
      </c>
      <c r="H7">
        <v>2</v>
      </c>
      <c r="I7">
        <v>2</v>
      </c>
    </row>
    <row r="8" spans="1:13" x14ac:dyDescent="0.35">
      <c r="A8" s="2" t="s">
        <v>6</v>
      </c>
      <c r="B8">
        <v>4</v>
      </c>
      <c r="C8">
        <v>2</v>
      </c>
      <c r="F8">
        <v>5</v>
      </c>
      <c r="G8">
        <v>2</v>
      </c>
      <c r="H8">
        <v>0</v>
      </c>
      <c r="I8">
        <v>2</v>
      </c>
      <c r="M8">
        <v>2</v>
      </c>
    </row>
    <row r="9" spans="1:13" x14ac:dyDescent="0.35">
      <c r="A9" s="3" t="s">
        <v>7</v>
      </c>
      <c r="B9">
        <v>1</v>
      </c>
      <c r="C9">
        <v>2</v>
      </c>
      <c r="D9">
        <v>2</v>
      </c>
      <c r="E9">
        <v>1</v>
      </c>
      <c r="G9">
        <v>2</v>
      </c>
      <c r="H9">
        <v>2</v>
      </c>
      <c r="I9">
        <v>0</v>
      </c>
      <c r="K9">
        <v>1</v>
      </c>
      <c r="M9">
        <v>3</v>
      </c>
    </row>
    <row r="10" spans="1:13" x14ac:dyDescent="0.35">
      <c r="A10" s="2" t="s">
        <v>8</v>
      </c>
      <c r="B10">
        <v>5</v>
      </c>
      <c r="C10">
        <v>5</v>
      </c>
      <c r="D10">
        <v>1</v>
      </c>
      <c r="E10">
        <v>2</v>
      </c>
      <c r="J10">
        <v>0</v>
      </c>
      <c r="L10">
        <v>4</v>
      </c>
    </row>
    <row r="11" spans="1:13" x14ac:dyDescent="0.35">
      <c r="A11" s="12" t="s">
        <v>9</v>
      </c>
      <c r="C11">
        <v>1</v>
      </c>
      <c r="F11">
        <v>4</v>
      </c>
      <c r="I11">
        <v>1</v>
      </c>
      <c r="K11">
        <v>0</v>
      </c>
      <c r="L11">
        <v>3</v>
      </c>
    </row>
    <row r="12" spans="1:13" x14ac:dyDescent="0.35">
      <c r="A12" t="s">
        <v>10</v>
      </c>
      <c r="B12">
        <v>1</v>
      </c>
      <c r="D12">
        <v>4</v>
      </c>
      <c r="J12">
        <v>4</v>
      </c>
      <c r="K12">
        <v>3</v>
      </c>
      <c r="L12">
        <v>0</v>
      </c>
      <c r="M12">
        <v>4</v>
      </c>
    </row>
    <row r="13" spans="1:13" x14ac:dyDescent="0.35">
      <c r="A13" t="s">
        <v>11</v>
      </c>
      <c r="B13">
        <v>4</v>
      </c>
      <c r="D13">
        <v>4</v>
      </c>
      <c r="H13">
        <v>2</v>
      </c>
      <c r="I13">
        <v>3</v>
      </c>
      <c r="L13">
        <v>4</v>
      </c>
      <c r="M13">
        <v>0</v>
      </c>
    </row>
    <row r="16" spans="1:13" x14ac:dyDescent="0.35">
      <c r="F16" t="s">
        <v>1</v>
      </c>
      <c r="G16" t="s">
        <v>2</v>
      </c>
    </row>
    <row r="19" spans="1:12" x14ac:dyDescent="0.35">
      <c r="A19" t="s">
        <v>13</v>
      </c>
      <c r="B19" t="s">
        <v>17</v>
      </c>
      <c r="C19" t="s">
        <v>14</v>
      </c>
      <c r="D19" t="s">
        <v>18</v>
      </c>
      <c r="E19" t="s">
        <v>22</v>
      </c>
      <c r="F19" t="s">
        <v>23</v>
      </c>
      <c r="G19" t="s">
        <v>16</v>
      </c>
      <c r="H19" t="s">
        <v>15</v>
      </c>
      <c r="I19" t="s">
        <v>19</v>
      </c>
      <c r="J19" t="s">
        <v>24</v>
      </c>
      <c r="K19" t="s">
        <v>20</v>
      </c>
      <c r="L19" t="s">
        <v>21</v>
      </c>
    </row>
    <row r="20" spans="1:12" x14ac:dyDescent="0.35">
      <c r="A20" t="s">
        <v>13</v>
      </c>
      <c r="B20" t="s">
        <v>14</v>
      </c>
      <c r="C20" t="s">
        <v>17</v>
      </c>
      <c r="D20" t="s">
        <v>16</v>
      </c>
      <c r="E20" t="s">
        <v>23</v>
      </c>
      <c r="F20" t="s">
        <v>15</v>
      </c>
      <c r="G20" t="s">
        <v>24</v>
      </c>
      <c r="H20" t="s">
        <v>22</v>
      </c>
      <c r="I20" t="s">
        <v>18</v>
      </c>
      <c r="J20" t="s">
        <v>19</v>
      </c>
      <c r="K20" t="s">
        <v>20</v>
      </c>
      <c r="L20" t="s">
        <v>21</v>
      </c>
    </row>
    <row r="22" spans="1:12" x14ac:dyDescent="0.35">
      <c r="A22" t="s">
        <v>13</v>
      </c>
      <c r="B22" t="s">
        <v>14</v>
      </c>
      <c r="C22" t="s">
        <v>17</v>
      </c>
      <c r="D22" t="s">
        <v>19</v>
      </c>
      <c r="E22" t="s">
        <v>15</v>
      </c>
      <c r="F22" t="s">
        <v>22</v>
      </c>
      <c r="G22" t="s">
        <v>18</v>
      </c>
      <c r="H22" t="s">
        <v>23</v>
      </c>
      <c r="I22" t="s">
        <v>24</v>
      </c>
      <c r="J22" t="s">
        <v>16</v>
      </c>
      <c r="K22" t="s">
        <v>20</v>
      </c>
      <c r="L22" t="s">
        <v>21</v>
      </c>
    </row>
    <row r="23" spans="1:12" x14ac:dyDescent="0.35">
      <c r="A23" t="s">
        <v>13</v>
      </c>
      <c r="B23" t="s">
        <v>17</v>
      </c>
      <c r="C23" t="s">
        <v>14</v>
      </c>
      <c r="D23" t="s">
        <v>18</v>
      </c>
      <c r="E23" t="s">
        <v>22</v>
      </c>
      <c r="F23" t="s">
        <v>23</v>
      </c>
      <c r="G23" t="s">
        <v>16</v>
      </c>
      <c r="H23" t="s">
        <v>15</v>
      </c>
      <c r="I23" t="s">
        <v>19</v>
      </c>
      <c r="J23" t="s">
        <v>24</v>
      </c>
      <c r="K23" t="s">
        <v>20</v>
      </c>
      <c r="L23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0A16-275D-4642-A10E-CBE85DA5D7A5}">
  <dimension ref="A1:O13"/>
  <sheetViews>
    <sheetView workbookViewId="0">
      <selection activeCell="O2" sqref="O2"/>
    </sheetView>
  </sheetViews>
  <sheetFormatPr defaultRowHeight="14.5" x14ac:dyDescent="0.35"/>
  <cols>
    <col min="1" max="13" width="3.6328125" customWidth="1"/>
    <col min="15" max="15" width="23.90625" customWidth="1"/>
  </cols>
  <sheetData>
    <row r="1" spans="1:15" x14ac:dyDescent="0.35">
      <c r="B1" t="str">
        <f>Лист1!B1</f>
        <v>e1</v>
      </c>
      <c r="C1" t="str">
        <f>Лист1!C1</f>
        <v>e2</v>
      </c>
      <c r="D1" t="str">
        <f>Лист1!D1</f>
        <v>e3</v>
      </c>
      <c r="E1" t="str">
        <f>Лист1!E1</f>
        <v>e4</v>
      </c>
      <c r="F1" t="str">
        <f>Лист1!F1</f>
        <v>e5</v>
      </c>
      <c r="G1" t="str">
        <f>Лист1!G1</f>
        <v>e6</v>
      </c>
      <c r="H1" t="str">
        <f>Лист1!H1</f>
        <v>e7</v>
      </c>
      <c r="I1" t="str">
        <f>Лист1!I1</f>
        <v>e8</v>
      </c>
      <c r="J1" t="str">
        <f>Лист1!J1</f>
        <v>e9</v>
      </c>
      <c r="K1" t="str">
        <f>Лист1!K1</f>
        <v>e10</v>
      </c>
      <c r="L1" t="str">
        <f>Лист1!L1</f>
        <v>e11</v>
      </c>
      <c r="M1" t="str">
        <f>Лист1!M1</f>
        <v>e12</v>
      </c>
    </row>
    <row r="2" spans="1:15" x14ac:dyDescent="0.35">
      <c r="A2" s="11" t="str">
        <f>Лист1!A2</f>
        <v>e1</v>
      </c>
      <c r="B2" t="str">
        <f>IF(Лист1!B2&gt;0,B$1,"")</f>
        <v/>
      </c>
      <c r="C2" t="str">
        <f>IF(Лист1!C2&gt;0,C$1,"")</f>
        <v/>
      </c>
      <c r="D2" t="str">
        <f>IF(Лист1!D2&gt;0,D$1,"")</f>
        <v>e3</v>
      </c>
      <c r="E2" t="str">
        <f>IF(Лист1!E2&gt;0,E$1,"")</f>
        <v>e4</v>
      </c>
      <c r="F2" t="str">
        <f>IF(Лист1!F2&gt;0,F$1,"")</f>
        <v/>
      </c>
      <c r="G2" t="str">
        <f>IF(Лист1!G2&gt;0,G$1,"")</f>
        <v>e6</v>
      </c>
      <c r="H2" t="str">
        <f>IF(Лист1!H2&gt;0,H$1,"")</f>
        <v>e7</v>
      </c>
      <c r="I2" t="str">
        <f>IF(Лист1!I2&gt;0,I$1,"")</f>
        <v>e8</v>
      </c>
      <c r="J2" t="str">
        <f>IF(Лист1!J2&gt;0,J$1,"")</f>
        <v>e9</v>
      </c>
      <c r="K2" t="str">
        <f>IF(Лист1!K2&gt;0,K$1,"")</f>
        <v/>
      </c>
      <c r="L2" t="str">
        <f>IF(Лист1!L2&gt;0,L$1,"")</f>
        <v>e11</v>
      </c>
      <c r="M2" t="str">
        <f>IF(Лист1!M2&gt;0,M$1,"")</f>
        <v>e12</v>
      </c>
      <c r="O2" t="str">
        <f>_xlfn.TEXTJOIN(", ",1,B2:M2)</f>
        <v>e3, e4, e6, e7, e8, e9, e11, e12</v>
      </c>
    </row>
    <row r="3" spans="1:15" x14ac:dyDescent="0.35">
      <c r="A3" s="11" t="str">
        <f>Лист1!A3</f>
        <v>e2</v>
      </c>
      <c r="B3" t="str">
        <f>IF(Лист1!B3&gt;0,B$1,"")</f>
        <v/>
      </c>
      <c r="C3" t="str">
        <f>IF(Лист1!C3&gt;0,C$1,"")</f>
        <v/>
      </c>
      <c r="D3" t="str">
        <f>IF(Лист1!D3&gt;0,D$1,"")</f>
        <v>e3</v>
      </c>
      <c r="E3" t="str">
        <f>IF(Лист1!E3&gt;0,E$1,"")</f>
        <v/>
      </c>
      <c r="F3" t="str">
        <f>IF(Лист1!F3&gt;0,F$1,"")</f>
        <v/>
      </c>
      <c r="G3" t="str">
        <f>IF(Лист1!G3&gt;0,G$1,"")</f>
        <v/>
      </c>
      <c r="H3" t="str">
        <f>IF(Лист1!H3&gt;0,H$1,"")</f>
        <v>e7</v>
      </c>
      <c r="I3" t="str">
        <f>IF(Лист1!I3&gt;0,I$1,"")</f>
        <v>e8</v>
      </c>
      <c r="J3" t="str">
        <f>IF(Лист1!J3&gt;0,J$1,"")</f>
        <v>e9</v>
      </c>
      <c r="K3" t="str">
        <f>IF(Лист1!K3&gt;0,K$1,"")</f>
        <v>e10</v>
      </c>
      <c r="L3" t="str">
        <f>IF(Лист1!L3&gt;0,L$1,"")</f>
        <v/>
      </c>
      <c r="M3" t="str">
        <f>IF(Лист1!M3&gt;0,M$1,"")</f>
        <v/>
      </c>
      <c r="O3" t="str">
        <f t="shared" ref="O3:O13" si="0">_xlfn.TEXTJOIN(", ",1,B3:M3)</f>
        <v>e3, e7, e8, e9, e10</v>
      </c>
    </row>
    <row r="4" spans="1:15" x14ac:dyDescent="0.35">
      <c r="A4" s="11" t="str">
        <f>Лист1!A4</f>
        <v>e3</v>
      </c>
      <c r="B4" t="str">
        <f>IF(Лист1!B4&gt;0,B$1,"")</f>
        <v>e1</v>
      </c>
      <c r="C4" t="str">
        <f>IF(Лист1!C4&gt;0,C$1,"")</f>
        <v>e2</v>
      </c>
      <c r="D4" t="str">
        <f>IF(Лист1!D4&gt;0,D$1,"")</f>
        <v/>
      </c>
      <c r="E4" t="str">
        <f>IF(Лист1!E4&gt;0,E$1,"")</f>
        <v>e4</v>
      </c>
      <c r="F4" t="str">
        <f>IF(Лист1!F4&gt;0,F$1,"")</f>
        <v>e5</v>
      </c>
      <c r="G4" t="str">
        <f>IF(Лист1!G4&gt;0,G$1,"")</f>
        <v>e6</v>
      </c>
      <c r="H4" t="str">
        <f>IF(Лист1!H4&gt;0,H$1,"")</f>
        <v/>
      </c>
      <c r="I4" t="str">
        <f>IF(Лист1!I4&gt;0,I$1,"")</f>
        <v>e8</v>
      </c>
      <c r="J4" t="str">
        <f>IF(Лист1!J4&gt;0,J$1,"")</f>
        <v>e9</v>
      </c>
      <c r="K4" t="str">
        <f>IF(Лист1!K4&gt;0,K$1,"")</f>
        <v/>
      </c>
      <c r="L4" t="str">
        <f>IF(Лист1!L4&gt;0,L$1,"")</f>
        <v>e11</v>
      </c>
      <c r="M4" t="str">
        <f>IF(Лист1!M4&gt;0,M$1,"")</f>
        <v>e12</v>
      </c>
      <c r="O4" t="str">
        <f t="shared" si="0"/>
        <v>e1, e2, e4, e5, e6, e8, e9, e11, e12</v>
      </c>
    </row>
    <row r="5" spans="1:15" x14ac:dyDescent="0.35">
      <c r="A5" s="11" t="str">
        <f>Лист1!A5</f>
        <v>e4</v>
      </c>
      <c r="B5" t="str">
        <f>IF(Лист1!B5&gt;0,B$1,"")</f>
        <v>e1</v>
      </c>
      <c r="C5" t="str">
        <f>IF(Лист1!C5&gt;0,C$1,"")</f>
        <v/>
      </c>
      <c r="D5" t="str">
        <f>IF(Лист1!D5&gt;0,D$1,"")</f>
        <v>e3</v>
      </c>
      <c r="E5" t="str">
        <f>IF(Лист1!E5&gt;0,E$1,"")</f>
        <v/>
      </c>
      <c r="F5" t="str">
        <f>IF(Лист1!F5&gt;0,F$1,"")</f>
        <v>e5</v>
      </c>
      <c r="G5" t="str">
        <f>IF(Лист1!G5&gt;0,G$1,"")</f>
        <v/>
      </c>
      <c r="H5" t="str">
        <f>IF(Лист1!H5&gt;0,H$1,"")</f>
        <v/>
      </c>
      <c r="I5" t="str">
        <f>IF(Лист1!I5&gt;0,I$1,"")</f>
        <v>e8</v>
      </c>
      <c r="J5" t="str">
        <f>IF(Лист1!J5&gt;0,J$1,"")</f>
        <v>e9</v>
      </c>
      <c r="K5" t="str">
        <f>IF(Лист1!K5&gt;0,K$1,"")</f>
        <v/>
      </c>
      <c r="L5" t="str">
        <f>IF(Лист1!L5&gt;0,L$1,"")</f>
        <v/>
      </c>
      <c r="M5" t="str">
        <f>IF(Лист1!M5&gt;0,M$1,"")</f>
        <v/>
      </c>
      <c r="O5" t="str">
        <f t="shared" si="0"/>
        <v>e1, e3, e5, e8, e9</v>
      </c>
    </row>
    <row r="6" spans="1:15" x14ac:dyDescent="0.35">
      <c r="A6" t="str">
        <f>Лист1!A6</f>
        <v>e5</v>
      </c>
      <c r="B6" t="str">
        <f>IF(Лист1!B6&gt;0,B$1,"")</f>
        <v/>
      </c>
      <c r="C6" t="str">
        <f>IF(Лист1!C6&gt;0,C$1,"")</f>
        <v/>
      </c>
      <c r="D6" t="str">
        <f>IF(Лист1!D6&gt;0,D$1,"")</f>
        <v>e3</v>
      </c>
      <c r="E6" t="str">
        <f>IF(Лист1!E6&gt;0,E$1,"")</f>
        <v>e4</v>
      </c>
      <c r="F6" t="str">
        <f>IF(Лист1!F6&gt;0,F$1,"")</f>
        <v/>
      </c>
      <c r="G6" t="str">
        <f>IF(Лист1!G6&gt;0,G$1,"")</f>
        <v/>
      </c>
      <c r="H6" t="str">
        <f>IF(Лист1!H6&gt;0,H$1,"")</f>
        <v>e7</v>
      </c>
      <c r="I6" t="str">
        <f>IF(Лист1!I6&gt;0,I$1,"")</f>
        <v/>
      </c>
      <c r="J6" t="str">
        <f>IF(Лист1!J6&gt;0,J$1,"")</f>
        <v/>
      </c>
      <c r="K6" t="str">
        <f>IF(Лист1!K6&gt;0,K$1,"")</f>
        <v>e10</v>
      </c>
      <c r="L6" t="str">
        <f>IF(Лист1!L6&gt;0,L$1,"")</f>
        <v/>
      </c>
      <c r="M6" t="str">
        <f>IF(Лист1!M6&gt;0,M$1,"")</f>
        <v/>
      </c>
      <c r="O6" t="str">
        <f>_xlfn.TEXTJOIN(", ",1,B6:M6)</f>
        <v>e3, e4, e7, e10</v>
      </c>
    </row>
    <row r="7" spans="1:15" x14ac:dyDescent="0.35">
      <c r="A7" s="11" t="str">
        <f>Лист1!A7</f>
        <v>e6</v>
      </c>
      <c r="B7" t="str">
        <f>IF(Лист1!B7&gt;0,B$1,"")</f>
        <v>e1</v>
      </c>
      <c r="C7" t="str">
        <f>IF(Лист1!C7&gt;0,C$1,"")</f>
        <v/>
      </c>
      <c r="D7" t="str">
        <f>IF(Лист1!D7&gt;0,D$1,"")</f>
        <v>e3</v>
      </c>
      <c r="E7" t="str">
        <f>IF(Лист1!E7&gt;0,E$1,"")</f>
        <v/>
      </c>
      <c r="F7" t="str">
        <f>IF(Лист1!F7&gt;0,F$1,"")</f>
        <v/>
      </c>
      <c r="G7" t="str">
        <f>IF(Лист1!G7&gt;0,G$1,"")</f>
        <v/>
      </c>
      <c r="H7" t="str">
        <f>IF(Лист1!H7&gt;0,H$1,"")</f>
        <v>e7</v>
      </c>
      <c r="I7" t="str">
        <f>IF(Лист1!I7&gt;0,I$1,"")</f>
        <v>e8</v>
      </c>
      <c r="J7" t="str">
        <f>IF(Лист1!J7&gt;0,J$1,"")</f>
        <v/>
      </c>
      <c r="K7" t="str">
        <f>IF(Лист1!K7&gt;0,K$1,"")</f>
        <v/>
      </c>
      <c r="L7" t="str">
        <f>IF(Лист1!L7&gt;0,L$1,"")</f>
        <v/>
      </c>
      <c r="M7" t="str">
        <f>IF(Лист1!M7&gt;0,M$1,"")</f>
        <v/>
      </c>
      <c r="O7" t="str">
        <f t="shared" si="0"/>
        <v>e1, e3, e7, e8</v>
      </c>
    </row>
    <row r="8" spans="1:15" x14ac:dyDescent="0.35">
      <c r="A8" s="11" t="str">
        <f>Лист1!A8</f>
        <v>e7</v>
      </c>
      <c r="B8" t="str">
        <f>IF(Лист1!B8&gt;0,B$1,"")</f>
        <v>e1</v>
      </c>
      <c r="C8" t="str">
        <f>IF(Лист1!C8&gt;0,C$1,"")</f>
        <v>e2</v>
      </c>
      <c r="D8" t="str">
        <f>IF(Лист1!D8&gt;0,D$1,"")</f>
        <v/>
      </c>
      <c r="E8" t="str">
        <f>IF(Лист1!E8&gt;0,E$1,"")</f>
        <v/>
      </c>
      <c r="F8" t="str">
        <f>IF(Лист1!F8&gt;0,F$1,"")</f>
        <v>e5</v>
      </c>
      <c r="G8" t="str">
        <f>IF(Лист1!G8&gt;0,G$1,"")</f>
        <v>e6</v>
      </c>
      <c r="H8" t="str">
        <f>IF(Лист1!H8&gt;0,H$1,"")</f>
        <v/>
      </c>
      <c r="I8" t="str">
        <f>IF(Лист1!I8&gt;0,I$1,"")</f>
        <v>e8</v>
      </c>
      <c r="J8" t="str">
        <f>IF(Лист1!J8&gt;0,J$1,"")</f>
        <v/>
      </c>
      <c r="K8" t="str">
        <f>IF(Лист1!K8&gt;0,K$1,"")</f>
        <v/>
      </c>
      <c r="L8" t="str">
        <f>IF(Лист1!L8&gt;0,L$1,"")</f>
        <v/>
      </c>
      <c r="M8" t="str">
        <f>IF(Лист1!M8&gt;0,M$1,"")</f>
        <v>e12</v>
      </c>
      <c r="O8" t="str">
        <f t="shared" si="0"/>
        <v>e1, e2, e5, e6, e8, e12</v>
      </c>
    </row>
    <row r="9" spans="1:15" x14ac:dyDescent="0.35">
      <c r="A9" s="11" t="str">
        <f>Лист1!A9</f>
        <v>e8</v>
      </c>
      <c r="B9" t="str">
        <f>IF(Лист1!B9&gt;0,B$1,"")</f>
        <v>e1</v>
      </c>
      <c r="C9" t="str">
        <f>IF(Лист1!C9&gt;0,C$1,"")</f>
        <v>e2</v>
      </c>
      <c r="D9" t="str">
        <f>IF(Лист1!D9&gt;0,D$1,"")</f>
        <v>e3</v>
      </c>
      <c r="E9" t="str">
        <f>IF(Лист1!E9&gt;0,E$1,"")</f>
        <v>e4</v>
      </c>
      <c r="F9" t="str">
        <f>IF(Лист1!F9&gt;0,F$1,"")</f>
        <v/>
      </c>
      <c r="G9" t="str">
        <f>IF(Лист1!G9&gt;0,G$1,"")</f>
        <v>e6</v>
      </c>
      <c r="H9" t="str">
        <f>IF(Лист1!H9&gt;0,H$1,"")</f>
        <v>e7</v>
      </c>
      <c r="I9" t="str">
        <f>IF(Лист1!I9&gt;0,I$1,"")</f>
        <v/>
      </c>
      <c r="J9" t="str">
        <f>IF(Лист1!J9&gt;0,J$1,"")</f>
        <v/>
      </c>
      <c r="K9" t="str">
        <f>IF(Лист1!K9&gt;0,K$1,"")</f>
        <v>e10</v>
      </c>
      <c r="L9" t="str">
        <f>IF(Лист1!L9&gt;0,L$1,"")</f>
        <v/>
      </c>
      <c r="M9" t="str">
        <f>IF(Лист1!M9&gt;0,M$1,"")</f>
        <v>e12</v>
      </c>
      <c r="O9" t="str">
        <f t="shared" si="0"/>
        <v>e1, e2, e3, e4, e6, e7, e10, e12</v>
      </c>
    </row>
    <row r="10" spans="1:15" x14ac:dyDescent="0.35">
      <c r="A10" s="11" t="str">
        <f>Лист1!A10</f>
        <v>e9</v>
      </c>
      <c r="B10" t="str">
        <f>IF(Лист1!B10&gt;0,B$1,"")</f>
        <v>e1</v>
      </c>
      <c r="C10" t="str">
        <f>IF(Лист1!C10&gt;0,C$1,"")</f>
        <v>e2</v>
      </c>
      <c r="D10" t="str">
        <f>IF(Лист1!D10&gt;0,D$1,"")</f>
        <v>e3</v>
      </c>
      <c r="E10" t="str">
        <f>IF(Лист1!E10&gt;0,E$1,"")</f>
        <v>e4</v>
      </c>
      <c r="F10" t="str">
        <f>IF(Лист1!F10&gt;0,F$1,"")</f>
        <v/>
      </c>
      <c r="G10" t="str">
        <f>IF(Лист1!G10&gt;0,G$1,"")</f>
        <v/>
      </c>
      <c r="H10" t="str">
        <f>IF(Лист1!H10&gt;0,H$1,"")</f>
        <v/>
      </c>
      <c r="I10" t="str">
        <f>IF(Лист1!I10&gt;0,I$1,"")</f>
        <v/>
      </c>
      <c r="J10" t="str">
        <f>IF(Лист1!J10&gt;0,J$1,"")</f>
        <v/>
      </c>
      <c r="K10" t="str">
        <f>IF(Лист1!K10&gt;0,K$1,"")</f>
        <v/>
      </c>
      <c r="L10" t="str">
        <f>IF(Лист1!L10&gt;0,L$1,"")</f>
        <v>e11</v>
      </c>
      <c r="M10" t="str">
        <f>IF(Лист1!M10&gt;0,M$1,"")</f>
        <v/>
      </c>
      <c r="O10" t="str">
        <f t="shared" si="0"/>
        <v>e1, e2, e3, e4, e11</v>
      </c>
    </row>
    <row r="11" spans="1:15" x14ac:dyDescent="0.35">
      <c r="A11" s="11" t="str">
        <f>Лист1!A11</f>
        <v>e10</v>
      </c>
      <c r="B11" t="str">
        <f>IF(Лист1!B11&gt;0,B$1,"")</f>
        <v/>
      </c>
      <c r="C11" t="str">
        <f>IF(Лист1!C11&gt;0,C$1,"")</f>
        <v>e2</v>
      </c>
      <c r="D11" t="str">
        <f>IF(Лист1!D11&gt;0,D$1,"")</f>
        <v/>
      </c>
      <c r="E11" t="str">
        <f>IF(Лист1!E11&gt;0,E$1,"")</f>
        <v/>
      </c>
      <c r="F11" t="str">
        <f>IF(Лист1!F11&gt;0,F$1,"")</f>
        <v>e5</v>
      </c>
      <c r="G11" t="str">
        <f>IF(Лист1!G11&gt;0,G$1,"")</f>
        <v/>
      </c>
      <c r="H11" t="str">
        <f>IF(Лист1!H11&gt;0,H$1,"")</f>
        <v/>
      </c>
      <c r="I11" t="str">
        <f>IF(Лист1!I11&gt;0,I$1,"")</f>
        <v>e8</v>
      </c>
      <c r="J11" t="str">
        <f>IF(Лист1!J11&gt;0,J$1,"")</f>
        <v/>
      </c>
      <c r="K11" t="str">
        <f>IF(Лист1!K11&gt;0,K$1,"")</f>
        <v/>
      </c>
      <c r="L11" t="str">
        <f>IF(Лист1!L11&gt;0,L$1,"")</f>
        <v>e11</v>
      </c>
      <c r="M11" t="str">
        <f>IF(Лист1!M11&gt;0,M$1,"")</f>
        <v/>
      </c>
      <c r="O11" t="str">
        <f t="shared" si="0"/>
        <v>e2, e5, e8, e11</v>
      </c>
    </row>
    <row r="12" spans="1:15" x14ac:dyDescent="0.35">
      <c r="A12" s="11" t="str">
        <f>Лист1!A12</f>
        <v>e11</v>
      </c>
      <c r="B12" t="str">
        <f>IF(Лист1!B12&gt;0,B$1,"")</f>
        <v>e1</v>
      </c>
      <c r="C12" t="str">
        <f>IF(Лист1!C12&gt;0,C$1,"")</f>
        <v/>
      </c>
      <c r="D12" t="str">
        <f>IF(Лист1!D12&gt;0,D$1,"")</f>
        <v>e3</v>
      </c>
      <c r="E12" t="str">
        <f>IF(Лист1!E12&gt;0,E$1,"")</f>
        <v/>
      </c>
      <c r="F12" t="str">
        <f>IF(Лист1!F12&gt;0,F$1,"")</f>
        <v/>
      </c>
      <c r="G12" t="str">
        <f>IF(Лист1!G12&gt;0,G$1,"")</f>
        <v/>
      </c>
      <c r="H12" t="str">
        <f>IF(Лист1!H12&gt;0,H$1,"")</f>
        <v/>
      </c>
      <c r="I12" t="str">
        <f>IF(Лист1!I12&gt;0,I$1,"")</f>
        <v/>
      </c>
      <c r="J12" t="str">
        <f>IF(Лист1!J12&gt;0,J$1,"")</f>
        <v>e9</v>
      </c>
      <c r="K12" t="str">
        <f>IF(Лист1!K12&gt;0,K$1,"")</f>
        <v>e10</v>
      </c>
      <c r="L12" t="str">
        <f>IF(Лист1!L12&gt;0,L$1,"")</f>
        <v/>
      </c>
      <c r="M12" t="str">
        <f>IF(Лист1!M12&gt;0,M$1,"")</f>
        <v>e12</v>
      </c>
      <c r="O12" t="str">
        <f t="shared" si="0"/>
        <v>e1, e3, e9, e10, e12</v>
      </c>
    </row>
    <row r="13" spans="1:15" x14ac:dyDescent="0.35">
      <c r="A13" s="11" t="str">
        <f>Лист1!A13</f>
        <v>e12</v>
      </c>
      <c r="B13" t="str">
        <f>IF(Лист1!B13&gt;0,B$1,"")</f>
        <v>e1</v>
      </c>
      <c r="C13" t="str">
        <f>IF(Лист1!C13&gt;0,C$1,"")</f>
        <v/>
      </c>
      <c r="D13" t="str">
        <f>IF(Лист1!D13&gt;0,D$1,"")</f>
        <v>e3</v>
      </c>
      <c r="E13" t="str">
        <f>IF(Лист1!E13&gt;0,E$1,"")</f>
        <v/>
      </c>
      <c r="F13" t="str">
        <f>IF(Лист1!F13&gt;0,F$1,"")</f>
        <v/>
      </c>
      <c r="G13" t="str">
        <f>IF(Лист1!G13&gt;0,G$1,"")</f>
        <v/>
      </c>
      <c r="H13" t="str">
        <f>IF(Лист1!H13&gt;0,H$1,"")</f>
        <v>e7</v>
      </c>
      <c r="I13" t="str">
        <f>IF(Лист1!I13&gt;0,I$1,"")</f>
        <v>e8</v>
      </c>
      <c r="J13" t="str">
        <f>IF(Лист1!J13&gt;0,J$1,"")</f>
        <v/>
      </c>
      <c r="K13" t="str">
        <f>IF(Лист1!K13&gt;0,K$1,"")</f>
        <v/>
      </c>
      <c r="L13" t="str">
        <f>IF(Лист1!L13&gt;0,L$1,"")</f>
        <v>e11</v>
      </c>
      <c r="M13" t="str">
        <f>IF(Лист1!M13&gt;0,M$1,"")</f>
        <v/>
      </c>
      <c r="O13" t="str">
        <f t="shared" si="0"/>
        <v>e1, e3, e7, e8, e11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7C05-FF7F-4F52-ABE9-F51EF97542BE}">
  <dimension ref="A1:AB34"/>
  <sheetViews>
    <sheetView zoomScale="103" workbookViewId="0">
      <selection activeCell="N7" sqref="N7"/>
    </sheetView>
  </sheetViews>
  <sheetFormatPr defaultRowHeight="14.5" x14ac:dyDescent="0.35"/>
  <cols>
    <col min="1" max="13" width="3.6328125" customWidth="1"/>
    <col min="16" max="16" width="3.6328125" customWidth="1"/>
    <col min="17" max="33" width="4.6328125" customWidth="1"/>
  </cols>
  <sheetData>
    <row r="1" spans="1:28" x14ac:dyDescent="0.35">
      <c r="B1" t="str">
        <f>Лист1!B1</f>
        <v>e1</v>
      </c>
      <c r="C1" t="str">
        <f>Лист1!C1</f>
        <v>e2</v>
      </c>
      <c r="D1" t="str">
        <f>Лист1!D1</f>
        <v>e3</v>
      </c>
      <c r="E1" t="str">
        <f>Лист1!E1</f>
        <v>e4</v>
      </c>
      <c r="F1" t="str">
        <f>Лист1!F1</f>
        <v>e5</v>
      </c>
      <c r="G1" t="str">
        <f>Лист1!G1</f>
        <v>e6</v>
      </c>
      <c r="H1" t="str">
        <f>Лист1!H1</f>
        <v>e7</v>
      </c>
      <c r="I1" t="str">
        <f>Лист1!I1</f>
        <v>e8</v>
      </c>
      <c r="J1" t="str">
        <f>Лист1!J1</f>
        <v>e9</v>
      </c>
      <c r="K1" t="str">
        <f>Лист1!K1</f>
        <v>e10</v>
      </c>
      <c r="L1" t="str">
        <f>Лист1!L1</f>
        <v>e11</v>
      </c>
      <c r="M1" t="str">
        <f>Лист1!M1</f>
        <v>e12</v>
      </c>
      <c r="O1" t="s">
        <v>12</v>
      </c>
    </row>
    <row r="2" spans="1:28" x14ac:dyDescent="0.35">
      <c r="A2" t="str">
        <f>Лист1!A2</f>
        <v>e1</v>
      </c>
      <c r="B2">
        <v>0</v>
      </c>
      <c r="C2" t="str">
        <f>IF(Лист1!C2&gt;0,1,"")</f>
        <v/>
      </c>
      <c r="D2">
        <f>IF(Лист1!D2&gt;0,1,"")</f>
        <v>1</v>
      </c>
      <c r="E2">
        <f>IF(Лист1!E2&gt;0,1,"")</f>
        <v>1</v>
      </c>
      <c r="F2" t="str">
        <f>IF(Лист1!F2&gt;0,1,"")</f>
        <v/>
      </c>
      <c r="G2">
        <f>IF(Лист1!G2&gt;0,1,"")</f>
        <v>1</v>
      </c>
      <c r="H2">
        <f>IF(Лист1!H2&gt;0,1,"")</f>
        <v>1</v>
      </c>
      <c r="I2">
        <f>IF(Лист1!I2&gt;0,1,"")</f>
        <v>1</v>
      </c>
      <c r="J2">
        <f>IF(Лист1!J2&gt;0,1,"")</f>
        <v>1</v>
      </c>
      <c r="K2" t="str">
        <f>IF(Лист1!K2&gt;0,1,"")</f>
        <v/>
      </c>
      <c r="L2">
        <f>IF(Лист1!L2&gt;0,1,"")</f>
        <v>1</v>
      </c>
      <c r="M2">
        <f>IF(Лист1!M2&gt;0,1,"")</f>
        <v>1</v>
      </c>
      <c r="O2" s="1">
        <f t="shared" ref="O2:O13" si="0">SUM(B2:M2)</f>
        <v>8</v>
      </c>
      <c r="Q2" s="5" t="s">
        <v>14</v>
      </c>
      <c r="R2" t="s">
        <v>13</v>
      </c>
      <c r="S2" t="s">
        <v>15</v>
      </c>
      <c r="T2" s="5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s="5" t="s">
        <v>24</v>
      </c>
    </row>
    <row r="3" spans="1:28" x14ac:dyDescent="0.35">
      <c r="A3" t="str">
        <f>Лист1!A3</f>
        <v>e2</v>
      </c>
      <c r="B3" t="str">
        <f>IF(Лист1!B3&gt;0,1,"")</f>
        <v/>
      </c>
      <c r="C3">
        <v>0</v>
      </c>
      <c r="D3">
        <f>IF(Лист1!D3&gt;0,1,"")</f>
        <v>1</v>
      </c>
      <c r="E3" t="str">
        <f>IF(Лист1!E3&gt;0,1,"")</f>
        <v/>
      </c>
      <c r="F3" t="str">
        <f>IF(Лист1!F3&gt;0,1,"")</f>
        <v/>
      </c>
      <c r="G3" t="str">
        <f>IF(Лист1!G3&gt;0,1,"")</f>
        <v/>
      </c>
      <c r="H3">
        <f>IF(Лист1!H3&gt;0,1,"")</f>
        <v>1</v>
      </c>
      <c r="I3">
        <f>IF(Лист1!I3&gt;0,1,"")</f>
        <v>1</v>
      </c>
      <c r="J3">
        <f>IF(Лист1!J3&gt;0,1,"")</f>
        <v>1</v>
      </c>
      <c r="K3">
        <f>IF(Лист1!K3&gt;0,1,"")</f>
        <v>1</v>
      </c>
      <c r="L3" t="str">
        <f>IF(Лист1!L3&gt;0,1,"")</f>
        <v/>
      </c>
      <c r="M3" t="str">
        <f>IF(Лист1!M3&gt;0,1,"")</f>
        <v/>
      </c>
      <c r="O3" s="4">
        <f t="shared" si="0"/>
        <v>5</v>
      </c>
      <c r="Q3">
        <v>9</v>
      </c>
      <c r="R3">
        <v>8</v>
      </c>
      <c r="S3">
        <v>8</v>
      </c>
      <c r="T3">
        <v>6</v>
      </c>
      <c r="U3">
        <v>5</v>
      </c>
      <c r="V3">
        <v>5</v>
      </c>
      <c r="W3">
        <v>5</v>
      </c>
      <c r="X3">
        <v>5</v>
      </c>
      <c r="Y3">
        <v>5</v>
      </c>
      <c r="Z3">
        <v>4</v>
      </c>
      <c r="AA3">
        <v>4</v>
      </c>
      <c r="AB3">
        <v>4</v>
      </c>
    </row>
    <row r="4" spans="1:28" x14ac:dyDescent="0.35">
      <c r="A4" s="5" t="str">
        <f>Лист1!A4</f>
        <v>e3</v>
      </c>
      <c r="B4">
        <f>IF(Лист1!B4&gt;0,1,"")</f>
        <v>1</v>
      </c>
      <c r="C4">
        <f>IF(Лист1!C4&gt;0,1,"")</f>
        <v>1</v>
      </c>
      <c r="D4">
        <v>0</v>
      </c>
      <c r="E4">
        <f>IF(Лист1!E4&gt;0,1,"")</f>
        <v>1</v>
      </c>
      <c r="F4">
        <f>IF(Лист1!F4&gt;0,1,"")</f>
        <v>1</v>
      </c>
      <c r="G4">
        <f>IF(Лист1!G4&gt;0,1,"")</f>
        <v>1</v>
      </c>
      <c r="H4" t="str">
        <f>IF(Лист1!H4&gt;0,1,"")</f>
        <v/>
      </c>
      <c r="I4">
        <f>IF(Лист1!I4&gt;0,1,"")</f>
        <v>1</v>
      </c>
      <c r="J4">
        <f>IF(Лист1!J4&gt;0,1,"")</f>
        <v>1</v>
      </c>
      <c r="K4" t="str">
        <f>IF(Лист1!K4&gt;0,1,"")</f>
        <v/>
      </c>
      <c r="L4">
        <f>IF(Лист1!L4&gt;0,1,"")</f>
        <v>1</v>
      </c>
      <c r="M4">
        <f>IF(Лист1!M4&gt;0,1,"")</f>
        <v>1</v>
      </c>
      <c r="O4" s="2">
        <f t="shared" si="0"/>
        <v>9</v>
      </c>
    </row>
    <row r="5" spans="1:28" x14ac:dyDescent="0.35">
      <c r="A5" t="str">
        <f>Лист1!A5</f>
        <v>e4</v>
      </c>
      <c r="B5">
        <f>IF(Лист1!B5&gt;0,1,"")</f>
        <v>1</v>
      </c>
      <c r="C5" t="str">
        <f>IF(Лист1!C5&gt;0,1,"")</f>
        <v/>
      </c>
      <c r="D5">
        <f>IF(Лист1!D5&gt;0,1,"")</f>
        <v>1</v>
      </c>
      <c r="E5">
        <v>0</v>
      </c>
      <c r="F5">
        <f>IF(Лист1!F5&gt;0,1,"")</f>
        <v>1</v>
      </c>
      <c r="G5" t="str">
        <f>IF(Лист1!G5&gt;0,1,"")</f>
        <v/>
      </c>
      <c r="H5" t="str">
        <f>IF(Лист1!H5&gt;0,1,"")</f>
        <v/>
      </c>
      <c r="I5">
        <f>IF(Лист1!I5&gt;0,1,"")</f>
        <v>1</v>
      </c>
      <c r="J5">
        <f>IF(Лист1!J5&gt;0,1,"")</f>
        <v>1</v>
      </c>
      <c r="K5" t="str">
        <f>IF(Лист1!K5&gt;0,1,"")</f>
        <v/>
      </c>
      <c r="L5" t="str">
        <f>IF(Лист1!L5&gt;0,1,"")</f>
        <v/>
      </c>
      <c r="M5" t="str">
        <f>IF(Лист1!M5&gt;0,1,"")</f>
        <v/>
      </c>
      <c r="O5" s="4">
        <f t="shared" si="0"/>
        <v>5</v>
      </c>
    </row>
    <row r="6" spans="1:28" x14ac:dyDescent="0.35">
      <c r="A6" t="str">
        <f>Лист1!A6</f>
        <v>e5</v>
      </c>
      <c r="B6" t="str">
        <f>IF(Лист1!B6&gt;0,1,"")</f>
        <v/>
      </c>
      <c r="C6" t="str">
        <f>IF(Лист1!C6&gt;0,1,"")</f>
        <v/>
      </c>
      <c r="D6">
        <f>IF(Лист1!D6&gt;0,1,"")</f>
        <v>1</v>
      </c>
      <c r="E6">
        <f>IF(Лист1!E6&gt;0,1,"")</f>
        <v>1</v>
      </c>
      <c r="F6">
        <v>0</v>
      </c>
      <c r="G6" t="str">
        <f>IF(Лист1!G6&gt;0,1,"")</f>
        <v/>
      </c>
      <c r="H6">
        <f>IF(Лист1!H6&gt;0,1,"")</f>
        <v>1</v>
      </c>
      <c r="I6" t="str">
        <f>IF(Лист1!I6&gt;0,1,"")</f>
        <v/>
      </c>
      <c r="J6" t="str">
        <f>IF(Лист1!J6&gt;0,1,"")</f>
        <v/>
      </c>
      <c r="K6">
        <f>IF(Лист1!K6&gt;0,1,"")</f>
        <v>1</v>
      </c>
      <c r="L6" t="str">
        <f>IF(Лист1!L6&gt;0,1,"")</f>
        <v/>
      </c>
      <c r="M6" t="str">
        <f>IF(Лист1!M6&gt;0,1,"")</f>
        <v/>
      </c>
      <c r="O6">
        <f t="shared" si="0"/>
        <v>4</v>
      </c>
    </row>
    <row r="7" spans="1:28" x14ac:dyDescent="0.35">
      <c r="A7" t="str">
        <f>Лист1!A7</f>
        <v>e6</v>
      </c>
      <c r="B7">
        <f>IF(Лист1!B7&gt;0,1,"")</f>
        <v>1</v>
      </c>
      <c r="C7" t="str">
        <f>IF(Лист1!C7&gt;0,1,"")</f>
        <v/>
      </c>
      <c r="D7">
        <f>IF(Лист1!D7&gt;0,1,"")</f>
        <v>1</v>
      </c>
      <c r="E7" t="str">
        <f>IF(Лист1!E7&gt;0,1,"")</f>
        <v/>
      </c>
      <c r="F7" t="str">
        <f>IF(Лист1!F7&gt;0,1,"")</f>
        <v/>
      </c>
      <c r="G7">
        <v>0</v>
      </c>
      <c r="H7">
        <f>IF(Лист1!H7&gt;0,1,"")</f>
        <v>1</v>
      </c>
      <c r="I7">
        <f>IF(Лист1!I7&gt;0,1,"")</f>
        <v>1</v>
      </c>
      <c r="J7" t="str">
        <f>IF(Лист1!J7&gt;0,1,"")</f>
        <v/>
      </c>
      <c r="K7" t="str">
        <f>IF(Лист1!K7&gt;0,1,"")</f>
        <v/>
      </c>
      <c r="L7" t="str">
        <f>IF(Лист1!L7&gt;0,1,"")</f>
        <v/>
      </c>
      <c r="M7" t="str">
        <f>IF(Лист1!M7&gt;0,1,"")</f>
        <v/>
      </c>
      <c r="O7">
        <f t="shared" si="0"/>
        <v>4</v>
      </c>
    </row>
    <row r="8" spans="1:28" x14ac:dyDescent="0.35">
      <c r="A8" s="5" t="str">
        <f>Лист1!A8</f>
        <v>e7</v>
      </c>
      <c r="B8">
        <f>IF(Лист1!B8&gt;0,1,"")</f>
        <v>1</v>
      </c>
      <c r="C8">
        <f>IF(Лист1!C8&gt;0,1,"")</f>
        <v>1</v>
      </c>
      <c r="D8" t="str">
        <f>IF(Лист1!D8&gt;0,1,"")</f>
        <v/>
      </c>
      <c r="E8" t="str">
        <f>IF(Лист1!E8&gt;0,1,"")</f>
        <v/>
      </c>
      <c r="F8">
        <f>IF(Лист1!F8&gt;0,1,"")</f>
        <v>1</v>
      </c>
      <c r="G8">
        <f>IF(Лист1!G8&gt;0,1,"")</f>
        <v>1</v>
      </c>
      <c r="H8">
        <v>0</v>
      </c>
      <c r="I8">
        <f>IF(Лист1!I8&gt;0,1,"")</f>
        <v>1</v>
      </c>
      <c r="J8" t="str">
        <f>IF(Лист1!J8&gt;0,1,"")</f>
        <v/>
      </c>
      <c r="K8" t="str">
        <f>IF(Лист1!K8&gt;0,1,"")</f>
        <v/>
      </c>
      <c r="L8" t="str">
        <f>IF(Лист1!L8&gt;0,1,"")</f>
        <v/>
      </c>
      <c r="M8">
        <f>IF(Лист1!M8&gt;0,1,"")</f>
        <v>1</v>
      </c>
      <c r="O8" s="3">
        <f t="shared" si="0"/>
        <v>6</v>
      </c>
    </row>
    <row r="9" spans="1:28" x14ac:dyDescent="0.35">
      <c r="A9" t="str">
        <f>Лист1!A9</f>
        <v>e8</v>
      </c>
      <c r="B9">
        <f>IF(Лист1!B9&gt;0,1,"")</f>
        <v>1</v>
      </c>
      <c r="C9">
        <f>IF(Лист1!C9&gt;0,1,"")</f>
        <v>1</v>
      </c>
      <c r="D9">
        <f>IF(Лист1!D9&gt;0,1,"")</f>
        <v>1</v>
      </c>
      <c r="E9">
        <f>IF(Лист1!E9&gt;0,1,"")</f>
        <v>1</v>
      </c>
      <c r="F9" t="str">
        <f>IF(Лист1!F9&gt;0,1,"")</f>
        <v/>
      </c>
      <c r="G9">
        <f>IF(Лист1!G9&gt;0,1,"")</f>
        <v>1</v>
      </c>
      <c r="H9">
        <f>IF(Лист1!H9&gt;0,1,"")</f>
        <v>1</v>
      </c>
      <c r="I9">
        <v>0</v>
      </c>
      <c r="J9" t="str">
        <f>IF(Лист1!J9&gt;0,1,"")</f>
        <v/>
      </c>
      <c r="K9">
        <f>IF(Лист1!K9&gt;0,1,"")</f>
        <v>1</v>
      </c>
      <c r="L9" t="str">
        <f>IF(Лист1!L9&gt;0,1,"")</f>
        <v/>
      </c>
      <c r="M9">
        <f>IF(Лист1!M9&gt;0,1,"")</f>
        <v>1</v>
      </c>
      <c r="O9" s="1">
        <f t="shared" si="0"/>
        <v>8</v>
      </c>
    </row>
    <row r="10" spans="1:28" x14ac:dyDescent="0.35">
      <c r="A10" t="str">
        <f>Лист1!A10</f>
        <v>e9</v>
      </c>
      <c r="B10">
        <f>IF(Лист1!B10&gt;0,1,"")</f>
        <v>1</v>
      </c>
      <c r="C10">
        <f>IF(Лист1!C10&gt;0,1,"")</f>
        <v>1</v>
      </c>
      <c r="D10">
        <f>IF(Лист1!D10&gt;0,1,"")</f>
        <v>1</v>
      </c>
      <c r="E10">
        <f>IF(Лист1!E10&gt;0,1,"")</f>
        <v>1</v>
      </c>
      <c r="F10" t="str">
        <f>IF(Лист1!F10&gt;0,1,"")</f>
        <v/>
      </c>
      <c r="G10" t="str">
        <f>IF(Лист1!G10&gt;0,1,"")</f>
        <v/>
      </c>
      <c r="H10" t="str">
        <f>IF(Лист1!H10&gt;0,1,"")</f>
        <v/>
      </c>
      <c r="I10" t="str">
        <f>IF(Лист1!I10&gt;0,1,"")</f>
        <v/>
      </c>
      <c r="J10">
        <v>0</v>
      </c>
      <c r="K10" t="str">
        <f>IF(Лист1!K10&gt;0,1,"")</f>
        <v/>
      </c>
      <c r="L10">
        <f>IF(Лист1!L10&gt;0,1,"")</f>
        <v>1</v>
      </c>
      <c r="M10" t="str">
        <f>IF(Лист1!M10&gt;0,1,"")</f>
        <v/>
      </c>
      <c r="O10" s="4">
        <f t="shared" si="0"/>
        <v>5</v>
      </c>
    </row>
    <row r="11" spans="1:28" x14ac:dyDescent="0.35">
      <c r="A11" s="5" t="str">
        <f>Лист1!A11</f>
        <v>e10</v>
      </c>
      <c r="B11" t="str">
        <f>IF(Лист1!B11&gt;0,1,"")</f>
        <v/>
      </c>
      <c r="C11">
        <f>IF(Лист1!C11&gt;0,1,"")</f>
        <v>1</v>
      </c>
      <c r="D11" t="str">
        <f>IF(Лист1!D11&gt;0,1,"")</f>
        <v/>
      </c>
      <c r="E11" t="str">
        <f>IF(Лист1!E11&gt;0,1,"")</f>
        <v/>
      </c>
      <c r="F11">
        <f>IF(Лист1!F11&gt;0,1,"")</f>
        <v>1</v>
      </c>
      <c r="G11" t="str">
        <f>IF(Лист1!G11&gt;0,1,"")</f>
        <v/>
      </c>
      <c r="H11" t="str">
        <f>IF(Лист1!H11&gt;0,1,"")</f>
        <v/>
      </c>
      <c r="I11">
        <f>IF(Лист1!I11&gt;0,1,"")</f>
        <v>1</v>
      </c>
      <c r="J11" t="str">
        <f>IF(Лист1!J11&gt;0,1,"")</f>
        <v/>
      </c>
      <c r="K11">
        <v>0</v>
      </c>
      <c r="L11">
        <f>IF(Лист1!L11&gt;0,1,"")</f>
        <v>1</v>
      </c>
      <c r="M11" t="str">
        <f>IF(Лист1!M11&gt;0,1,"")</f>
        <v/>
      </c>
      <c r="O11">
        <f t="shared" si="0"/>
        <v>4</v>
      </c>
    </row>
    <row r="12" spans="1:28" x14ac:dyDescent="0.35">
      <c r="A12" t="str">
        <f>Лист1!A12</f>
        <v>e11</v>
      </c>
      <c r="B12">
        <f>IF(Лист1!B12&gt;0,1,"")</f>
        <v>1</v>
      </c>
      <c r="C12" t="str">
        <f>IF(Лист1!C12&gt;0,1,"")</f>
        <v/>
      </c>
      <c r="D12">
        <f>IF(Лист1!D12&gt;0,1,"")</f>
        <v>1</v>
      </c>
      <c r="E12" t="str">
        <f>IF(Лист1!E12&gt;0,1,"")</f>
        <v/>
      </c>
      <c r="F12" t="str">
        <f>IF(Лист1!F12&gt;0,1,"")</f>
        <v/>
      </c>
      <c r="G12" t="str">
        <f>IF(Лист1!G12&gt;0,1,"")</f>
        <v/>
      </c>
      <c r="H12" t="str">
        <f>IF(Лист1!H12&gt;0,1,"")</f>
        <v/>
      </c>
      <c r="I12" t="str">
        <f>IF(Лист1!I12&gt;0,1,"")</f>
        <v/>
      </c>
      <c r="J12">
        <f>IF(Лист1!J12&gt;0,1,"")</f>
        <v>1</v>
      </c>
      <c r="K12">
        <f>IF(Лист1!K12&gt;0,1,"")</f>
        <v>1</v>
      </c>
      <c r="L12">
        <v>0</v>
      </c>
      <c r="M12">
        <f>IF(Лист1!M12&gt;0,1,"")</f>
        <v>1</v>
      </c>
      <c r="O12" s="4">
        <f t="shared" si="0"/>
        <v>5</v>
      </c>
    </row>
    <row r="13" spans="1:28" x14ac:dyDescent="0.35">
      <c r="A13" t="str">
        <f>Лист1!A13</f>
        <v>e12</v>
      </c>
      <c r="B13">
        <f>IF(Лист1!B13&gt;0,1,"")</f>
        <v>1</v>
      </c>
      <c r="C13" t="str">
        <f>IF(Лист1!C13&gt;0,1,"")</f>
        <v/>
      </c>
      <c r="D13">
        <f>IF(Лист1!D13&gt;0,1,"")</f>
        <v>1</v>
      </c>
      <c r="E13" t="str">
        <f>IF(Лист1!E13&gt;0,1,"")</f>
        <v/>
      </c>
      <c r="F13" t="str">
        <f>IF(Лист1!F13&gt;0,1,"")</f>
        <v/>
      </c>
      <c r="G13" t="str">
        <f>IF(Лист1!G13&gt;0,1,"")</f>
        <v/>
      </c>
      <c r="H13">
        <f>IF(Лист1!H13&gt;0,1,"")</f>
        <v>1</v>
      </c>
      <c r="I13">
        <f>IF(Лист1!I13&gt;0,1,"")</f>
        <v>1</v>
      </c>
      <c r="J13" t="str">
        <f>IF(Лист1!J13&gt;0,1,"")</f>
        <v/>
      </c>
      <c r="K13" t="str">
        <f>IF(Лист1!K13&gt;0,1,"")</f>
        <v/>
      </c>
      <c r="L13">
        <f>IF(Лист1!L13&gt;0,1,"")</f>
        <v>1</v>
      </c>
      <c r="M13">
        <v>0</v>
      </c>
      <c r="O13" s="4">
        <f t="shared" si="0"/>
        <v>5</v>
      </c>
    </row>
    <row r="16" spans="1:28" x14ac:dyDescent="0.35">
      <c r="B16" t="s">
        <v>13</v>
      </c>
      <c r="C16" t="s">
        <v>17</v>
      </c>
      <c r="D16" t="s">
        <v>18</v>
      </c>
      <c r="E16" t="s">
        <v>22</v>
      </c>
      <c r="F16" t="s">
        <v>23</v>
      </c>
      <c r="G16" t="s">
        <v>15</v>
      </c>
      <c r="H16" t="s">
        <v>19</v>
      </c>
      <c r="I16" t="s">
        <v>20</v>
      </c>
      <c r="J16" t="s">
        <v>21</v>
      </c>
      <c r="Q16" s="10" t="s">
        <v>13</v>
      </c>
      <c r="R16" t="s">
        <v>15</v>
      </c>
      <c r="S16" t="s">
        <v>18</v>
      </c>
      <c r="T16" t="s">
        <v>19</v>
      </c>
      <c r="U16" t="s">
        <v>20</v>
      </c>
      <c r="V16" t="s">
        <v>21</v>
      </c>
      <c r="W16" s="10" t="s">
        <v>17</v>
      </c>
      <c r="X16" t="s">
        <v>23</v>
      </c>
      <c r="Y16" s="10" t="s">
        <v>22</v>
      </c>
    </row>
    <row r="17" spans="1:25" x14ac:dyDescent="0.35">
      <c r="A17" s="10" t="s">
        <v>13</v>
      </c>
      <c r="B17">
        <v>0</v>
      </c>
      <c r="C17" s="10"/>
      <c r="D17">
        <v>1</v>
      </c>
      <c r="E17" s="10"/>
      <c r="F17">
        <v>1</v>
      </c>
      <c r="G17">
        <v>1</v>
      </c>
      <c r="H17">
        <v>1</v>
      </c>
      <c r="I17">
        <v>1</v>
      </c>
      <c r="J17">
        <v>1</v>
      </c>
      <c r="N17" t="s">
        <v>13</v>
      </c>
      <c r="O17" s="2">
        <f>SUM(B17:J17)</f>
        <v>6</v>
      </c>
      <c r="Q17">
        <v>6</v>
      </c>
      <c r="R17">
        <v>5</v>
      </c>
      <c r="S17">
        <v>4</v>
      </c>
      <c r="T17">
        <v>4</v>
      </c>
      <c r="U17">
        <v>3</v>
      </c>
      <c r="V17">
        <v>3</v>
      </c>
      <c r="W17">
        <v>2</v>
      </c>
      <c r="X17">
        <v>2</v>
      </c>
      <c r="Y17">
        <v>1</v>
      </c>
    </row>
    <row r="18" spans="1:25" x14ac:dyDescent="0.35">
      <c r="A18" t="s">
        <v>17</v>
      </c>
      <c r="C18">
        <v>0</v>
      </c>
      <c r="G18">
        <v>1</v>
      </c>
      <c r="H18">
        <v>1</v>
      </c>
      <c r="N18" t="s">
        <v>17</v>
      </c>
      <c r="O18" s="9">
        <f t="shared" ref="O18:O25" si="1">SUM(B18:J18)</f>
        <v>2</v>
      </c>
    </row>
    <row r="19" spans="1:25" x14ac:dyDescent="0.35">
      <c r="A19" t="s">
        <v>18</v>
      </c>
      <c r="B19">
        <v>1</v>
      </c>
      <c r="D19">
        <v>0</v>
      </c>
      <c r="E19">
        <v>1</v>
      </c>
      <c r="G19">
        <v>1</v>
      </c>
      <c r="H19">
        <v>1</v>
      </c>
      <c r="N19" t="s">
        <v>18</v>
      </c>
      <c r="O19" s="7">
        <f t="shared" si="1"/>
        <v>4</v>
      </c>
    </row>
    <row r="20" spans="1:25" x14ac:dyDescent="0.35">
      <c r="A20" t="s">
        <v>22</v>
      </c>
      <c r="D20">
        <v>1</v>
      </c>
      <c r="E20">
        <v>0</v>
      </c>
      <c r="N20" t="s">
        <v>22</v>
      </c>
      <c r="O20">
        <f t="shared" si="1"/>
        <v>1</v>
      </c>
    </row>
    <row r="21" spans="1:25" x14ac:dyDescent="0.35">
      <c r="A21" t="s">
        <v>23</v>
      </c>
      <c r="B21">
        <v>1</v>
      </c>
      <c r="F21">
        <v>0</v>
      </c>
      <c r="G21">
        <v>1</v>
      </c>
      <c r="N21" t="s">
        <v>23</v>
      </c>
      <c r="O21" s="9">
        <f t="shared" si="1"/>
        <v>2</v>
      </c>
    </row>
    <row r="22" spans="1:25" x14ac:dyDescent="0.35">
      <c r="A22" t="s">
        <v>15</v>
      </c>
      <c r="B22">
        <v>1</v>
      </c>
      <c r="C22">
        <v>1</v>
      </c>
      <c r="D22">
        <v>1</v>
      </c>
      <c r="F22">
        <v>1</v>
      </c>
      <c r="G22">
        <v>0</v>
      </c>
      <c r="J22">
        <v>1</v>
      </c>
      <c r="N22" t="s">
        <v>15</v>
      </c>
      <c r="O22" s="6">
        <f t="shared" si="1"/>
        <v>5</v>
      </c>
    </row>
    <row r="23" spans="1:25" x14ac:dyDescent="0.35">
      <c r="A23" t="s">
        <v>19</v>
      </c>
      <c r="B23">
        <v>1</v>
      </c>
      <c r="C23">
        <v>1</v>
      </c>
      <c r="D23">
        <v>1</v>
      </c>
      <c r="H23">
        <v>0</v>
      </c>
      <c r="I23">
        <v>1</v>
      </c>
      <c r="N23" t="s">
        <v>19</v>
      </c>
      <c r="O23" s="7">
        <f t="shared" si="1"/>
        <v>4</v>
      </c>
    </row>
    <row r="24" spans="1:25" x14ac:dyDescent="0.35">
      <c r="A24" t="s">
        <v>20</v>
      </c>
      <c r="B24">
        <v>1</v>
      </c>
      <c r="H24">
        <v>1</v>
      </c>
      <c r="I24">
        <v>0</v>
      </c>
      <c r="J24">
        <v>1</v>
      </c>
      <c r="N24" t="s">
        <v>20</v>
      </c>
      <c r="O24" s="8">
        <f t="shared" si="1"/>
        <v>3</v>
      </c>
    </row>
    <row r="25" spans="1:25" x14ac:dyDescent="0.35">
      <c r="A25" t="s">
        <v>21</v>
      </c>
      <c r="B25">
        <v>1</v>
      </c>
      <c r="G25">
        <v>1</v>
      </c>
      <c r="I25">
        <v>1</v>
      </c>
      <c r="J25">
        <v>0</v>
      </c>
      <c r="N25" t="s">
        <v>21</v>
      </c>
      <c r="O25" s="8">
        <f t="shared" si="1"/>
        <v>3</v>
      </c>
    </row>
    <row r="28" spans="1:25" x14ac:dyDescent="0.35">
      <c r="B28" t="s">
        <v>18</v>
      </c>
      <c r="C28" t="s">
        <v>23</v>
      </c>
      <c r="D28" t="s">
        <v>15</v>
      </c>
      <c r="E28" t="s">
        <v>19</v>
      </c>
      <c r="F28" t="s">
        <v>20</v>
      </c>
      <c r="G28" t="s">
        <v>21</v>
      </c>
      <c r="Q28" t="s">
        <v>15</v>
      </c>
      <c r="R28" t="s">
        <v>18</v>
      </c>
      <c r="S28" t="s">
        <v>19</v>
      </c>
      <c r="T28" t="s">
        <v>20</v>
      </c>
      <c r="U28" t="s">
        <v>21</v>
      </c>
      <c r="V28" t="s">
        <v>23</v>
      </c>
    </row>
    <row r="29" spans="1:25" x14ac:dyDescent="0.35">
      <c r="A29" t="s">
        <v>18</v>
      </c>
      <c r="B29">
        <v>0</v>
      </c>
      <c r="D29">
        <v>1</v>
      </c>
      <c r="E29">
        <v>1</v>
      </c>
      <c r="N29" t="s">
        <v>18</v>
      </c>
      <c r="O29" s="3">
        <f>SUM(B29:G29)</f>
        <v>2</v>
      </c>
      <c r="Q29">
        <v>3</v>
      </c>
      <c r="R29">
        <v>2</v>
      </c>
      <c r="S29">
        <v>2</v>
      </c>
      <c r="T29">
        <v>2</v>
      </c>
      <c r="U29">
        <v>2</v>
      </c>
      <c r="V29">
        <v>1</v>
      </c>
    </row>
    <row r="30" spans="1:25" x14ac:dyDescent="0.35">
      <c r="A30" t="s">
        <v>23</v>
      </c>
      <c r="C30">
        <v>0</v>
      </c>
      <c r="D30">
        <v>1</v>
      </c>
      <c r="N30" t="s">
        <v>23</v>
      </c>
      <c r="O30">
        <f t="shared" ref="O30:O34" si="2">SUM(B30:G30)</f>
        <v>1</v>
      </c>
    </row>
    <row r="31" spans="1:25" x14ac:dyDescent="0.35">
      <c r="A31" s="11" t="s">
        <v>15</v>
      </c>
      <c r="B31">
        <v>1</v>
      </c>
      <c r="C31">
        <v>1</v>
      </c>
      <c r="D31">
        <v>0</v>
      </c>
      <c r="E31" s="11"/>
      <c r="G31">
        <v>1</v>
      </c>
      <c r="N31" t="s">
        <v>15</v>
      </c>
      <c r="O31" s="10">
        <f t="shared" si="2"/>
        <v>3</v>
      </c>
    </row>
    <row r="32" spans="1:25" x14ac:dyDescent="0.35">
      <c r="A32" s="11" t="s">
        <v>19</v>
      </c>
      <c r="B32">
        <v>1</v>
      </c>
      <c r="E32">
        <v>0</v>
      </c>
      <c r="F32">
        <v>1</v>
      </c>
      <c r="N32" t="s">
        <v>19</v>
      </c>
      <c r="O32" s="3">
        <f t="shared" si="2"/>
        <v>2</v>
      </c>
    </row>
    <row r="33" spans="1:15" x14ac:dyDescent="0.35">
      <c r="A33" t="s">
        <v>20</v>
      </c>
      <c r="E33">
        <v>1</v>
      </c>
      <c r="F33">
        <v>0</v>
      </c>
      <c r="G33">
        <v>1</v>
      </c>
      <c r="N33" t="s">
        <v>20</v>
      </c>
      <c r="O33" s="3">
        <f t="shared" si="2"/>
        <v>2</v>
      </c>
    </row>
    <row r="34" spans="1:15" x14ac:dyDescent="0.35">
      <c r="A34" t="s">
        <v>21</v>
      </c>
      <c r="D34">
        <v>1</v>
      </c>
      <c r="F34">
        <v>1</v>
      </c>
      <c r="G34">
        <v>0</v>
      </c>
      <c r="N34" t="s">
        <v>21</v>
      </c>
      <c r="O34" s="3">
        <f t="shared" si="2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AB65-73B8-4623-AE5F-1C81FA233EC9}">
  <dimension ref="A1:T31"/>
  <sheetViews>
    <sheetView zoomScaleNormal="100" workbookViewId="0">
      <selection activeCell="P16" sqref="P16"/>
    </sheetView>
  </sheetViews>
  <sheetFormatPr defaultRowHeight="14.5" x14ac:dyDescent="0.35"/>
  <cols>
    <col min="1" max="13" width="3.6328125" customWidth="1"/>
  </cols>
  <sheetData>
    <row r="1" spans="1:20" x14ac:dyDescent="0.35">
      <c r="B1" t="str">
        <f>Лист1!B1</f>
        <v>e1</v>
      </c>
      <c r="C1" t="str">
        <f>Лист1!C1</f>
        <v>e2</v>
      </c>
      <c r="D1" t="str">
        <f>Лист1!D1</f>
        <v>e3</v>
      </c>
      <c r="E1" t="str">
        <f>Лист1!E1</f>
        <v>e4</v>
      </c>
      <c r="F1" t="str">
        <f>Лист1!F1</f>
        <v>e5</v>
      </c>
      <c r="G1" t="str">
        <f>Лист1!G1</f>
        <v>e6</v>
      </c>
      <c r="H1" t="str">
        <f>Лист1!H1</f>
        <v>e7</v>
      </c>
      <c r="I1" t="str">
        <f>Лист1!I1</f>
        <v>e8</v>
      </c>
      <c r="J1" t="str">
        <f>Лист1!J1</f>
        <v>e9</v>
      </c>
      <c r="K1" t="str">
        <f>Лист1!K1</f>
        <v>e10</v>
      </c>
      <c r="L1" t="str">
        <f>Лист1!L1</f>
        <v>e11</v>
      </c>
      <c r="M1" t="str">
        <f>Лист1!M1</f>
        <v>e12</v>
      </c>
    </row>
    <row r="2" spans="1:20" x14ac:dyDescent="0.35">
      <c r="A2" t="str">
        <f>Лист1!A2</f>
        <v>e1</v>
      </c>
      <c r="B2">
        <v>0</v>
      </c>
      <c r="C2" t="str">
        <f>IF(Лист1!C2&gt;0,1,"")</f>
        <v/>
      </c>
      <c r="D2">
        <f>IF(Лист1!D2&gt;0,1,"")</f>
        <v>1</v>
      </c>
      <c r="E2">
        <f>IF(Лист1!E2&gt;0,1,"")</f>
        <v>1</v>
      </c>
      <c r="F2" t="str">
        <f>IF(Лист1!F2&gt;0,1,"")</f>
        <v/>
      </c>
      <c r="G2">
        <f>IF(Лист1!G2&gt;0,1,"")</f>
        <v>1</v>
      </c>
      <c r="H2">
        <f>IF(Лист1!H2&gt;0,1,"")</f>
        <v>1</v>
      </c>
      <c r="I2">
        <f>IF(Лист1!I2&gt;0,1,"")</f>
        <v>1</v>
      </c>
      <c r="J2">
        <f>IF(Лист1!J2&gt;0,1,"")</f>
        <v>1</v>
      </c>
      <c r="K2" t="str">
        <f>IF(Лист1!K2&gt;0,1,"")</f>
        <v/>
      </c>
      <c r="L2">
        <f>IF(Лист1!L2&gt;0,1,"")</f>
        <v>1</v>
      </c>
      <c r="M2">
        <f>IF(Лист1!M2&gt;0,1,"")</f>
        <v>1</v>
      </c>
      <c r="N2" t="s">
        <v>0</v>
      </c>
      <c r="O2">
        <f>SUM(B2:M2)</f>
        <v>8</v>
      </c>
      <c r="R2">
        <v>9</v>
      </c>
      <c r="T2" t="str">
        <f>_xlfn.TEXTJOIN(", ",1,R2:R13)</f>
        <v>9, 8, 8, 6, 5, 5, 5, 5, 5, 4, 4, 4</v>
      </c>
    </row>
    <row r="3" spans="1:20" x14ac:dyDescent="0.35">
      <c r="A3" t="str">
        <f>Лист1!A3</f>
        <v>e2</v>
      </c>
      <c r="B3" t="str">
        <f>IF(Лист1!B3&gt;0,1,"")</f>
        <v/>
      </c>
      <c r="C3">
        <v>0</v>
      </c>
      <c r="D3">
        <f>IF(Лист1!D3&gt;0,1,"")</f>
        <v>1</v>
      </c>
      <c r="E3" t="str">
        <f>IF(Лист1!E3&gt;0,1,"")</f>
        <v/>
      </c>
      <c r="F3" t="str">
        <f>IF(Лист1!F3&gt;0,1,"")</f>
        <v/>
      </c>
      <c r="G3" t="str">
        <f>IF(Лист1!G3&gt;0,1,"")</f>
        <v/>
      </c>
      <c r="H3">
        <f>IF(Лист1!H3&gt;0,1,"")</f>
        <v>1</v>
      </c>
      <c r="I3">
        <f>IF(Лист1!I3&gt;0,1,"")</f>
        <v>1</v>
      </c>
      <c r="J3">
        <f>IF(Лист1!J3&gt;0,1,"")</f>
        <v>1</v>
      </c>
      <c r="K3">
        <f>IF(Лист1!K3&gt;0,1,"")</f>
        <v>1</v>
      </c>
      <c r="L3" t="str">
        <f>IF(Лист1!L3&gt;0,1,"")</f>
        <v/>
      </c>
      <c r="M3" t="str">
        <f>IF(Лист1!M3&gt;0,1,"")</f>
        <v/>
      </c>
      <c r="N3" t="s">
        <v>1</v>
      </c>
      <c r="O3">
        <f t="shared" ref="O3:O13" si="0">SUM(B3:M3)</f>
        <v>5</v>
      </c>
      <c r="R3">
        <v>8</v>
      </c>
    </row>
    <row r="4" spans="1:20" x14ac:dyDescent="0.35">
      <c r="A4" s="12" t="str">
        <f>Лист1!A4</f>
        <v>e3</v>
      </c>
      <c r="B4">
        <f>IF(Лист1!B4&gt;0,1,"")</f>
        <v>1</v>
      </c>
      <c r="C4">
        <f>IF(Лист1!C4&gt;0,1,"")</f>
        <v>1</v>
      </c>
      <c r="D4">
        <v>0</v>
      </c>
      <c r="E4">
        <f>IF(Лист1!E4&gt;0,1,"")</f>
        <v>1</v>
      </c>
      <c r="F4">
        <f>IF(Лист1!F4&gt;0,1,"")</f>
        <v>1</v>
      </c>
      <c r="G4">
        <f>IF(Лист1!G4&gt;0,1,"")</f>
        <v>1</v>
      </c>
      <c r="H4" t="str">
        <f>IF(Лист1!H4&gt;0,1,"")</f>
        <v/>
      </c>
      <c r="I4">
        <f>IF(Лист1!I4&gt;0,1,"")</f>
        <v>1</v>
      </c>
      <c r="J4">
        <f>IF(Лист1!J4&gt;0,1,"")</f>
        <v>1</v>
      </c>
      <c r="K4" t="str">
        <f>IF(Лист1!K4&gt;0,1,"")</f>
        <v/>
      </c>
      <c r="L4">
        <f>IF(Лист1!L4&gt;0,1,"")</f>
        <v>1</v>
      </c>
      <c r="M4">
        <f>IF(Лист1!M4&gt;0,1,"")</f>
        <v>1</v>
      </c>
      <c r="N4" t="s">
        <v>2</v>
      </c>
      <c r="O4">
        <f t="shared" si="0"/>
        <v>9</v>
      </c>
      <c r="R4">
        <v>8</v>
      </c>
    </row>
    <row r="5" spans="1:20" x14ac:dyDescent="0.35">
      <c r="A5" s="2" t="str">
        <f>Лист1!A5</f>
        <v>e4</v>
      </c>
      <c r="B5">
        <f>IF(Лист1!B5&gt;0,1,"")</f>
        <v>1</v>
      </c>
      <c r="C5" t="str">
        <f>IF(Лист1!C5&gt;0,1,"")</f>
        <v/>
      </c>
      <c r="D5">
        <f>IF(Лист1!D5&gt;0,1,"")</f>
        <v>1</v>
      </c>
      <c r="E5">
        <v>0</v>
      </c>
      <c r="F5">
        <f>IF(Лист1!F5&gt;0,1,"")</f>
        <v>1</v>
      </c>
      <c r="G5" t="str">
        <f>IF(Лист1!G5&gt;0,1,"")</f>
        <v/>
      </c>
      <c r="H5" t="str">
        <f>IF(Лист1!H5&gt;0,1,"")</f>
        <v/>
      </c>
      <c r="I5">
        <f>IF(Лист1!I5&gt;0,1,"")</f>
        <v>1</v>
      </c>
      <c r="J5">
        <f>IF(Лист1!J5&gt;0,1,"")</f>
        <v>1</v>
      </c>
      <c r="K5" t="str">
        <f>IF(Лист1!K5&gt;0,1,"")</f>
        <v/>
      </c>
      <c r="L5" t="str">
        <f>IF(Лист1!L5&gt;0,1,"")</f>
        <v/>
      </c>
      <c r="M5" t="str">
        <f>IF(Лист1!M5&gt;0,1,"")</f>
        <v/>
      </c>
      <c r="N5" t="s">
        <v>3</v>
      </c>
      <c r="O5">
        <f t="shared" si="0"/>
        <v>5</v>
      </c>
      <c r="R5">
        <v>6</v>
      </c>
    </row>
    <row r="6" spans="1:20" x14ac:dyDescent="0.35">
      <c r="A6" t="str">
        <f>Лист1!A6</f>
        <v>e5</v>
      </c>
      <c r="B6" t="str">
        <f>IF(Лист1!B6&gt;0,1,"")</f>
        <v/>
      </c>
      <c r="C6" t="str">
        <f>IF(Лист1!C6&gt;0,1,"")</f>
        <v/>
      </c>
      <c r="D6">
        <f>IF(Лист1!D6&gt;0,1,"")</f>
        <v>1</v>
      </c>
      <c r="E6">
        <f>IF(Лист1!E6&gt;0,1,"")</f>
        <v>1</v>
      </c>
      <c r="F6">
        <v>0</v>
      </c>
      <c r="G6" t="str">
        <f>IF(Лист1!G6&gt;0,1,"")</f>
        <v/>
      </c>
      <c r="H6">
        <f>IF(Лист1!H6&gt;0,1,"")</f>
        <v>1</v>
      </c>
      <c r="I6" t="str">
        <f>IF(Лист1!I6&gt;0,1,"")</f>
        <v/>
      </c>
      <c r="J6" t="str">
        <f>IF(Лист1!J6&gt;0,1,"")</f>
        <v/>
      </c>
      <c r="K6">
        <f>IF(Лист1!K6&gt;0,1,"")</f>
        <v>1</v>
      </c>
      <c r="L6" t="str">
        <f>IF(Лист1!L6&gt;0,1,"")</f>
        <v/>
      </c>
      <c r="M6" t="str">
        <f>IF(Лист1!M6&gt;0,1,"")</f>
        <v/>
      </c>
      <c r="N6" t="s">
        <v>4</v>
      </c>
      <c r="O6">
        <f t="shared" si="0"/>
        <v>4</v>
      </c>
      <c r="R6">
        <v>5</v>
      </c>
    </row>
    <row r="7" spans="1:20" x14ac:dyDescent="0.35">
      <c r="A7" s="2" t="str">
        <f>Лист1!A7</f>
        <v>e6</v>
      </c>
      <c r="B7">
        <f>IF(Лист1!B7&gt;0,1,"")</f>
        <v>1</v>
      </c>
      <c r="C7" t="str">
        <f>IF(Лист1!C7&gt;0,1,"")</f>
        <v/>
      </c>
      <c r="D7">
        <f>IF(Лист1!D7&gt;0,1,"")</f>
        <v>1</v>
      </c>
      <c r="E7" t="str">
        <f>IF(Лист1!E7&gt;0,1,"")</f>
        <v/>
      </c>
      <c r="F7" t="str">
        <f>IF(Лист1!F7&gt;0,1,"")</f>
        <v/>
      </c>
      <c r="G7">
        <v>0</v>
      </c>
      <c r="H7">
        <f>IF(Лист1!H7&gt;0,1,"")</f>
        <v>1</v>
      </c>
      <c r="I7">
        <f>IF(Лист1!I7&gt;0,1,"")</f>
        <v>1</v>
      </c>
      <c r="J7" t="str">
        <f>IF(Лист1!J7&gt;0,1,"")</f>
        <v/>
      </c>
      <c r="K7" t="str">
        <f>IF(Лист1!K7&gt;0,1,"")</f>
        <v/>
      </c>
      <c r="L7" t="str">
        <f>IF(Лист1!L7&gt;0,1,"")</f>
        <v/>
      </c>
      <c r="M7" t="str">
        <f>IF(Лист1!M7&gt;0,1,"")</f>
        <v/>
      </c>
      <c r="N7" t="s">
        <v>5</v>
      </c>
      <c r="O7">
        <f t="shared" si="0"/>
        <v>4</v>
      </c>
      <c r="R7">
        <v>5</v>
      </c>
    </row>
    <row r="8" spans="1:20" x14ac:dyDescent="0.35">
      <c r="A8" s="12" t="str">
        <f>Лист1!A8</f>
        <v>e7</v>
      </c>
      <c r="B8">
        <f>IF(Лист1!B8&gt;0,1,"")</f>
        <v>1</v>
      </c>
      <c r="C8">
        <f>IF(Лист1!C8&gt;0,1,"")</f>
        <v>1</v>
      </c>
      <c r="D8" t="str">
        <f>IF(Лист1!D8&gt;0,1,"")</f>
        <v/>
      </c>
      <c r="E8" t="str">
        <f>IF(Лист1!E8&gt;0,1,"")</f>
        <v/>
      </c>
      <c r="F8">
        <f>IF(Лист1!F8&gt;0,1,"")</f>
        <v>1</v>
      </c>
      <c r="G8">
        <f>IF(Лист1!G8&gt;0,1,"")</f>
        <v>1</v>
      </c>
      <c r="H8">
        <v>0</v>
      </c>
      <c r="I8">
        <f>IF(Лист1!I8&gt;0,1,"")</f>
        <v>1</v>
      </c>
      <c r="J8" t="str">
        <f>IF(Лист1!J8&gt;0,1,"")</f>
        <v/>
      </c>
      <c r="K8" t="str">
        <f>IF(Лист1!K8&gt;0,1,"")</f>
        <v/>
      </c>
      <c r="L8" t="str">
        <f>IF(Лист1!L8&gt;0,1,"")</f>
        <v/>
      </c>
      <c r="M8">
        <f>IF(Лист1!M8&gt;0,1,"")</f>
        <v>1</v>
      </c>
      <c r="N8" t="s">
        <v>6</v>
      </c>
      <c r="O8">
        <f t="shared" si="0"/>
        <v>6</v>
      </c>
      <c r="R8">
        <v>5</v>
      </c>
    </row>
    <row r="9" spans="1:20" x14ac:dyDescent="0.35">
      <c r="A9" t="str">
        <f>Лист1!A9</f>
        <v>e8</v>
      </c>
      <c r="B9">
        <f>IF(Лист1!B9&gt;0,1,"")</f>
        <v>1</v>
      </c>
      <c r="C9">
        <f>IF(Лист1!C9&gt;0,1,"")</f>
        <v>1</v>
      </c>
      <c r="D9">
        <f>IF(Лист1!D9&gt;0,1,"")</f>
        <v>1</v>
      </c>
      <c r="E9">
        <f>IF(Лист1!E9&gt;0,1,"")</f>
        <v>1</v>
      </c>
      <c r="F9" t="str">
        <f>IF(Лист1!F9&gt;0,1,"")</f>
        <v/>
      </c>
      <c r="G9">
        <f>IF(Лист1!G9&gt;0,1,"")</f>
        <v>1</v>
      </c>
      <c r="H9">
        <f>IF(Лист1!H9&gt;0,1,"")</f>
        <v>1</v>
      </c>
      <c r="I9">
        <v>0</v>
      </c>
      <c r="J9" t="str">
        <f>IF(Лист1!J9&gt;0,1,"")</f>
        <v/>
      </c>
      <c r="K9">
        <f>IF(Лист1!K9&gt;0,1,"")</f>
        <v>1</v>
      </c>
      <c r="L9" t="str">
        <f>IF(Лист1!L9&gt;0,1,"")</f>
        <v/>
      </c>
      <c r="M9">
        <f>IF(Лист1!M9&gt;0,1,"")</f>
        <v>1</v>
      </c>
      <c r="N9" t="s">
        <v>7</v>
      </c>
      <c r="O9">
        <f t="shared" si="0"/>
        <v>8</v>
      </c>
      <c r="R9">
        <v>5</v>
      </c>
    </row>
    <row r="10" spans="1:20" x14ac:dyDescent="0.35">
      <c r="A10" s="2" t="str">
        <f>Лист1!A10</f>
        <v>e9</v>
      </c>
      <c r="B10">
        <f>IF(Лист1!B10&gt;0,1,"")</f>
        <v>1</v>
      </c>
      <c r="C10">
        <f>IF(Лист1!C10&gt;0,1,"")</f>
        <v>1</v>
      </c>
      <c r="D10">
        <f>IF(Лист1!D10&gt;0,1,"")</f>
        <v>1</v>
      </c>
      <c r="E10">
        <f>IF(Лист1!E10&gt;0,1,"")</f>
        <v>1</v>
      </c>
      <c r="F10" t="str">
        <f>IF(Лист1!F10&gt;0,1,"")</f>
        <v/>
      </c>
      <c r="G10" t="str">
        <f>IF(Лист1!G10&gt;0,1,"")</f>
        <v/>
      </c>
      <c r="H10" t="str">
        <f>IF(Лист1!H10&gt;0,1,"")</f>
        <v/>
      </c>
      <c r="I10" t="str">
        <f>IF(Лист1!I10&gt;0,1,"")</f>
        <v/>
      </c>
      <c r="J10">
        <v>0</v>
      </c>
      <c r="K10" t="str">
        <f>IF(Лист1!K10&gt;0,1,"")</f>
        <v/>
      </c>
      <c r="L10">
        <f>IF(Лист1!L10&gt;0,1,"")</f>
        <v>1</v>
      </c>
      <c r="M10" t="str">
        <f>IF(Лист1!M10&gt;0,1,"")</f>
        <v/>
      </c>
      <c r="N10" t="s">
        <v>8</v>
      </c>
      <c r="O10">
        <f t="shared" si="0"/>
        <v>5</v>
      </c>
      <c r="R10">
        <v>5</v>
      </c>
    </row>
    <row r="11" spans="1:20" x14ac:dyDescent="0.35">
      <c r="A11" s="12" t="str">
        <f>Лист1!A11</f>
        <v>e10</v>
      </c>
      <c r="B11" t="str">
        <f>IF(Лист1!B11&gt;0,1,"")</f>
        <v/>
      </c>
      <c r="C11">
        <f>IF(Лист1!C11&gt;0,1,"")</f>
        <v>1</v>
      </c>
      <c r="D11" t="str">
        <f>IF(Лист1!D11&gt;0,1,"")</f>
        <v/>
      </c>
      <c r="E11" t="str">
        <f>IF(Лист1!E11&gt;0,1,"")</f>
        <v/>
      </c>
      <c r="F11">
        <f>IF(Лист1!F11&gt;0,1,"")</f>
        <v>1</v>
      </c>
      <c r="G11" t="str">
        <f>IF(Лист1!G11&gt;0,1,"")</f>
        <v/>
      </c>
      <c r="H11" t="str">
        <f>IF(Лист1!H11&gt;0,1,"")</f>
        <v/>
      </c>
      <c r="I11">
        <f>IF(Лист1!I11&gt;0,1,"")</f>
        <v>1</v>
      </c>
      <c r="J11" t="str">
        <f>IF(Лист1!J11&gt;0,1,"")</f>
        <v/>
      </c>
      <c r="K11">
        <v>0</v>
      </c>
      <c r="L11">
        <f>IF(Лист1!L11&gt;0,1,"")</f>
        <v>1</v>
      </c>
      <c r="M11" t="str">
        <f>IF(Лист1!M11&gt;0,1,"")</f>
        <v/>
      </c>
      <c r="N11" t="s">
        <v>9</v>
      </c>
      <c r="O11">
        <f t="shared" si="0"/>
        <v>4</v>
      </c>
      <c r="R11">
        <v>4</v>
      </c>
    </row>
    <row r="12" spans="1:20" x14ac:dyDescent="0.35">
      <c r="A12" s="12" t="str">
        <f>Лист1!A12</f>
        <v>e11</v>
      </c>
      <c r="B12">
        <f>IF(Лист1!B12&gt;0,1,"")</f>
        <v>1</v>
      </c>
      <c r="C12" t="str">
        <f>IF(Лист1!C12&gt;0,1,"")</f>
        <v/>
      </c>
      <c r="D12">
        <f>IF(Лист1!D12&gt;0,1,"")</f>
        <v>1</v>
      </c>
      <c r="E12" t="str">
        <f>IF(Лист1!E12&gt;0,1,"")</f>
        <v/>
      </c>
      <c r="F12" t="str">
        <f>IF(Лист1!F12&gt;0,1,"")</f>
        <v/>
      </c>
      <c r="G12" t="str">
        <f>IF(Лист1!G12&gt;0,1,"")</f>
        <v/>
      </c>
      <c r="H12" t="str">
        <f>IF(Лист1!H12&gt;0,1,"")</f>
        <v/>
      </c>
      <c r="I12" t="str">
        <f>IF(Лист1!I12&gt;0,1,"")</f>
        <v/>
      </c>
      <c r="J12">
        <f>IF(Лист1!J12&gt;0,1,"")</f>
        <v>1</v>
      </c>
      <c r="K12">
        <f>IF(Лист1!K12&gt;0,1,"")</f>
        <v>1</v>
      </c>
      <c r="L12">
        <v>0</v>
      </c>
      <c r="M12">
        <f>IF(Лист1!M12&gt;0,1,"")</f>
        <v>1</v>
      </c>
      <c r="N12" t="s">
        <v>10</v>
      </c>
      <c r="O12">
        <f t="shared" si="0"/>
        <v>5</v>
      </c>
      <c r="R12">
        <v>4</v>
      </c>
    </row>
    <row r="13" spans="1:20" x14ac:dyDescent="0.35">
      <c r="A13" t="str">
        <f>Лист1!A13</f>
        <v>e12</v>
      </c>
      <c r="B13">
        <f>IF(Лист1!B13&gt;0,1,"")</f>
        <v>1</v>
      </c>
      <c r="C13" t="str">
        <f>IF(Лист1!C13&gt;0,1,"")</f>
        <v/>
      </c>
      <c r="D13">
        <f>IF(Лист1!D13&gt;0,1,"")</f>
        <v>1</v>
      </c>
      <c r="E13" t="str">
        <f>IF(Лист1!E13&gt;0,1,"")</f>
        <v/>
      </c>
      <c r="F13" t="str">
        <f>IF(Лист1!F13&gt;0,1,"")</f>
        <v/>
      </c>
      <c r="G13" t="str">
        <f>IF(Лист1!G13&gt;0,1,"")</f>
        <v/>
      </c>
      <c r="H13">
        <f>IF(Лист1!H13&gt;0,1,"")</f>
        <v>1</v>
      </c>
      <c r="I13">
        <f>IF(Лист1!I13&gt;0,1,"")</f>
        <v>1</v>
      </c>
      <c r="J13" t="str">
        <f>IF(Лист1!J13&gt;0,1,"")</f>
        <v/>
      </c>
      <c r="K13" t="str">
        <f>IF(Лист1!K13&gt;0,1,"")</f>
        <v/>
      </c>
      <c r="L13">
        <f>IF(Лист1!L13&gt;0,1,"")</f>
        <v>1</v>
      </c>
      <c r="M13">
        <v>0</v>
      </c>
      <c r="N13" t="s">
        <v>11</v>
      </c>
      <c r="O13">
        <f t="shared" si="0"/>
        <v>5</v>
      </c>
      <c r="Q13">
        <f>SUM(O2:O13)</f>
        <v>68</v>
      </c>
      <c r="R13">
        <v>4</v>
      </c>
    </row>
    <row r="14" spans="1:20" x14ac:dyDescent="0.35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</row>
    <row r="15" spans="1:20" x14ac:dyDescent="0.35">
      <c r="B15" t="s">
        <v>8</v>
      </c>
      <c r="C15" t="s">
        <v>9</v>
      </c>
      <c r="D15" t="s">
        <v>10</v>
      </c>
      <c r="E15" t="s">
        <v>11</v>
      </c>
      <c r="F15" t="s">
        <v>6</v>
      </c>
      <c r="G15" t="s">
        <v>7</v>
      </c>
      <c r="H15" t="s">
        <v>4</v>
      </c>
      <c r="I15" t="s">
        <v>5</v>
      </c>
      <c r="J15" t="s">
        <v>0</v>
      </c>
      <c r="K15" t="s">
        <v>1</v>
      </c>
      <c r="L15" t="s">
        <v>2</v>
      </c>
      <c r="M15" t="s">
        <v>3</v>
      </c>
    </row>
    <row r="16" spans="1:20" x14ac:dyDescent="0.35"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</row>
    <row r="17" spans="1:20" x14ac:dyDescent="0.35">
      <c r="A17" s="2" t="s">
        <v>0</v>
      </c>
      <c r="B17">
        <v>0</v>
      </c>
      <c r="D17">
        <v>1</v>
      </c>
      <c r="J17">
        <v>1</v>
      </c>
      <c r="K17">
        <v>1</v>
      </c>
      <c r="L17">
        <v>1</v>
      </c>
      <c r="M17">
        <v>1</v>
      </c>
      <c r="N17" t="s">
        <v>0</v>
      </c>
      <c r="O17">
        <f>SUM(B17:M17)</f>
        <v>5</v>
      </c>
      <c r="Q17">
        <f>SUM(O17:O28)</f>
        <v>68</v>
      </c>
      <c r="R17">
        <v>9</v>
      </c>
      <c r="T17" t="str">
        <f>_xlfn.TEXTJOIN(", ",1,R17:R28)</f>
        <v>9, 8, 8, 6, 5, 5, 5, 5, 5, 4, 4, 4</v>
      </c>
    </row>
    <row r="18" spans="1:20" x14ac:dyDescent="0.35">
      <c r="A18" s="12" t="s">
        <v>1</v>
      </c>
      <c r="C18">
        <v>0</v>
      </c>
      <c r="D18">
        <v>1</v>
      </c>
      <c r="G18">
        <v>1</v>
      </c>
      <c r="H18">
        <v>1</v>
      </c>
      <c r="K18">
        <v>1</v>
      </c>
      <c r="N18" t="s">
        <v>1</v>
      </c>
      <c r="O18">
        <f t="shared" ref="O18:O28" si="1">SUM(B18:M18)</f>
        <v>4</v>
      </c>
      <c r="R18">
        <v>8</v>
      </c>
    </row>
    <row r="19" spans="1:20" x14ac:dyDescent="0.35">
      <c r="A19" s="12" t="s">
        <v>2</v>
      </c>
      <c r="B19">
        <v>1</v>
      </c>
      <c r="C19">
        <v>1</v>
      </c>
      <c r="D19">
        <v>0</v>
      </c>
      <c r="E19">
        <v>1</v>
      </c>
      <c r="J19">
        <v>1</v>
      </c>
      <c r="L19">
        <v>1</v>
      </c>
      <c r="N19" t="s">
        <v>2</v>
      </c>
      <c r="O19">
        <f t="shared" si="1"/>
        <v>5</v>
      </c>
      <c r="R19">
        <v>8</v>
      </c>
    </row>
    <row r="20" spans="1:20" x14ac:dyDescent="0.35">
      <c r="A20" t="s">
        <v>3</v>
      </c>
      <c r="D20">
        <v>1</v>
      </c>
      <c r="E20">
        <v>0</v>
      </c>
      <c r="F20">
        <v>1</v>
      </c>
      <c r="G20">
        <v>1</v>
      </c>
      <c r="J20">
        <v>1</v>
      </c>
      <c r="L20">
        <v>1</v>
      </c>
      <c r="N20" t="s">
        <v>3</v>
      </c>
      <c r="O20">
        <f t="shared" si="1"/>
        <v>5</v>
      </c>
      <c r="R20">
        <v>6</v>
      </c>
    </row>
    <row r="21" spans="1:20" x14ac:dyDescent="0.35">
      <c r="A21" s="12" t="s">
        <v>4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N21" s="2" t="s">
        <v>4</v>
      </c>
      <c r="O21">
        <f t="shared" si="1"/>
        <v>6</v>
      </c>
      <c r="R21">
        <v>5</v>
      </c>
    </row>
    <row r="22" spans="1:20" x14ac:dyDescent="0.35">
      <c r="A22" t="s">
        <v>5</v>
      </c>
      <c r="C22">
        <v>1</v>
      </c>
      <c r="E22">
        <v>1</v>
      </c>
      <c r="F22">
        <v>1</v>
      </c>
      <c r="G22">
        <v>0</v>
      </c>
      <c r="I22">
        <v>1</v>
      </c>
      <c r="J22">
        <v>1</v>
      </c>
      <c r="K22">
        <v>1</v>
      </c>
      <c r="L22">
        <v>1</v>
      </c>
      <c r="M22">
        <v>1</v>
      </c>
      <c r="N22" s="2" t="s">
        <v>5</v>
      </c>
      <c r="O22">
        <f t="shared" si="1"/>
        <v>8</v>
      </c>
      <c r="R22">
        <v>5</v>
      </c>
    </row>
    <row r="23" spans="1:20" x14ac:dyDescent="0.35">
      <c r="A23" t="s">
        <v>6</v>
      </c>
      <c r="C23">
        <v>1</v>
      </c>
      <c r="F23">
        <v>1</v>
      </c>
      <c r="H23">
        <v>0</v>
      </c>
      <c r="L23">
        <v>1</v>
      </c>
      <c r="M23">
        <v>1</v>
      </c>
      <c r="N23" s="2" t="s">
        <v>6</v>
      </c>
      <c r="O23">
        <f t="shared" si="1"/>
        <v>4</v>
      </c>
      <c r="R23">
        <v>5</v>
      </c>
    </row>
    <row r="24" spans="1:20" x14ac:dyDescent="0.35">
      <c r="A24" s="2" t="s">
        <v>7</v>
      </c>
      <c r="F24">
        <v>1</v>
      </c>
      <c r="G24">
        <v>1</v>
      </c>
      <c r="I24">
        <v>0</v>
      </c>
      <c r="J24">
        <v>1</v>
      </c>
      <c r="L24">
        <v>1</v>
      </c>
      <c r="N24" s="2" t="s">
        <v>7</v>
      </c>
      <c r="O24">
        <f t="shared" si="1"/>
        <v>4</v>
      </c>
      <c r="R24">
        <v>5</v>
      </c>
    </row>
    <row r="25" spans="1:20" x14ac:dyDescent="0.35">
      <c r="A25" t="s">
        <v>8</v>
      </c>
      <c r="B25">
        <v>1</v>
      </c>
      <c r="D25">
        <v>1</v>
      </c>
      <c r="E25">
        <v>1</v>
      </c>
      <c r="F25">
        <v>1</v>
      </c>
      <c r="G25">
        <v>1</v>
      </c>
      <c r="I25">
        <v>1</v>
      </c>
      <c r="J25">
        <v>0</v>
      </c>
      <c r="L25">
        <v>1</v>
      </c>
      <c r="M25">
        <v>1</v>
      </c>
      <c r="N25" t="s">
        <v>8</v>
      </c>
      <c r="O25">
        <f t="shared" si="1"/>
        <v>8</v>
      </c>
      <c r="R25">
        <v>5</v>
      </c>
    </row>
    <row r="26" spans="1:20" x14ac:dyDescent="0.35">
      <c r="A26" t="s">
        <v>9</v>
      </c>
      <c r="B26">
        <v>1</v>
      </c>
      <c r="C26">
        <v>1</v>
      </c>
      <c r="F26">
        <v>1</v>
      </c>
      <c r="G26">
        <v>1</v>
      </c>
      <c r="K26">
        <v>0</v>
      </c>
      <c r="L26">
        <v>1</v>
      </c>
      <c r="N26" t="s">
        <v>9</v>
      </c>
      <c r="O26">
        <f t="shared" si="1"/>
        <v>5</v>
      </c>
      <c r="R26">
        <v>4</v>
      </c>
    </row>
    <row r="27" spans="1:20" x14ac:dyDescent="0.35">
      <c r="A27" s="12" t="s">
        <v>10</v>
      </c>
      <c r="B27">
        <v>1</v>
      </c>
      <c r="D27">
        <v>1</v>
      </c>
      <c r="E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 t="s">
        <v>10</v>
      </c>
      <c r="O27">
        <f t="shared" si="1"/>
        <v>9</v>
      </c>
      <c r="R27">
        <v>4</v>
      </c>
    </row>
    <row r="28" spans="1:20" x14ac:dyDescent="0.35">
      <c r="A28" s="2" t="s">
        <v>11</v>
      </c>
      <c r="B28">
        <v>1</v>
      </c>
      <c r="G28">
        <v>1</v>
      </c>
      <c r="H28">
        <v>1</v>
      </c>
      <c r="J28">
        <v>1</v>
      </c>
      <c r="L28">
        <v>1</v>
      </c>
      <c r="M28">
        <v>0</v>
      </c>
      <c r="N28" t="s">
        <v>11</v>
      </c>
      <c r="O28">
        <f t="shared" si="1"/>
        <v>5</v>
      </c>
      <c r="R28">
        <v>4</v>
      </c>
    </row>
    <row r="29" spans="1:20" x14ac:dyDescent="0.35"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</row>
    <row r="31" spans="1:20" x14ac:dyDescent="0.35">
      <c r="B31">
        <f>SUM(B17:B28)</f>
        <v>5</v>
      </c>
      <c r="C31">
        <f t="shared" ref="C31:M31" si="2">SUM(C17:C28)</f>
        <v>4</v>
      </c>
      <c r="D31">
        <f t="shared" si="2"/>
        <v>5</v>
      </c>
      <c r="E31">
        <f t="shared" si="2"/>
        <v>5</v>
      </c>
      <c r="F31">
        <f t="shared" si="2"/>
        <v>6</v>
      </c>
      <c r="G31">
        <f t="shared" si="2"/>
        <v>8</v>
      </c>
      <c r="H31" s="2">
        <f t="shared" si="2"/>
        <v>4</v>
      </c>
      <c r="I31">
        <f t="shared" si="2"/>
        <v>4</v>
      </c>
      <c r="J31">
        <f t="shared" si="2"/>
        <v>8</v>
      </c>
      <c r="K31">
        <f t="shared" si="2"/>
        <v>5</v>
      </c>
      <c r="L31">
        <f t="shared" si="2"/>
        <v>9</v>
      </c>
      <c r="M31">
        <f t="shared" si="2"/>
        <v>5</v>
      </c>
    </row>
  </sheetData>
  <sortState xmlns:xlrd2="http://schemas.microsoft.com/office/spreadsheetml/2017/richdata2" ref="R17:R28">
    <sortCondition descending="1" ref="R17:R28"/>
  </sortState>
  <phoneticPr fontId="1" type="noConversion"/>
  <conditionalFormatting sqref="O2:O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:O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EF48-2173-483A-9BE2-DF4C1DBCA1CB}">
  <dimension ref="A1:M13"/>
  <sheetViews>
    <sheetView workbookViewId="0">
      <selection activeCell="O5" sqref="O5"/>
    </sheetView>
  </sheetViews>
  <sheetFormatPr defaultRowHeight="14.5" x14ac:dyDescent="0.35"/>
  <cols>
    <col min="1" max="13" width="3.6328125" customWidth="1"/>
  </cols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0</v>
      </c>
      <c r="B2">
        <v>0</v>
      </c>
      <c r="D2">
        <v>2</v>
      </c>
      <c r="E2">
        <v>3</v>
      </c>
      <c r="G2">
        <v>3</v>
      </c>
      <c r="H2">
        <v>4</v>
      </c>
      <c r="I2">
        <v>1</v>
      </c>
      <c r="J2">
        <v>5</v>
      </c>
      <c r="L2">
        <v>1</v>
      </c>
      <c r="M2">
        <v>4</v>
      </c>
    </row>
    <row r="3" spans="1:13" x14ac:dyDescent="0.35">
      <c r="A3" t="s">
        <v>1</v>
      </c>
      <c r="C3">
        <v>0</v>
      </c>
      <c r="D3">
        <v>5</v>
      </c>
      <c r="H3">
        <v>2</v>
      </c>
      <c r="I3">
        <v>2</v>
      </c>
      <c r="J3">
        <v>5</v>
      </c>
      <c r="K3">
        <v>1</v>
      </c>
    </row>
    <row r="4" spans="1:13" x14ac:dyDescent="0.35">
      <c r="A4" t="s">
        <v>2</v>
      </c>
      <c r="B4">
        <v>2</v>
      </c>
      <c r="C4">
        <v>5</v>
      </c>
      <c r="D4">
        <v>0</v>
      </c>
      <c r="E4">
        <v>1</v>
      </c>
      <c r="F4">
        <v>5</v>
      </c>
      <c r="G4">
        <v>3</v>
      </c>
      <c r="I4">
        <v>2</v>
      </c>
      <c r="J4">
        <v>1</v>
      </c>
      <c r="L4">
        <v>4</v>
      </c>
      <c r="M4">
        <v>4</v>
      </c>
    </row>
    <row r="5" spans="1:13" x14ac:dyDescent="0.35">
      <c r="A5" t="s">
        <v>3</v>
      </c>
      <c r="B5">
        <v>3</v>
      </c>
      <c r="D5">
        <v>1</v>
      </c>
      <c r="E5">
        <v>0</v>
      </c>
      <c r="F5">
        <v>4</v>
      </c>
      <c r="I5">
        <v>1</v>
      </c>
      <c r="J5">
        <v>2</v>
      </c>
    </row>
    <row r="6" spans="1:13" x14ac:dyDescent="0.35">
      <c r="A6" t="s">
        <v>4</v>
      </c>
      <c r="D6">
        <v>5</v>
      </c>
      <c r="E6">
        <v>4</v>
      </c>
      <c r="F6">
        <v>0</v>
      </c>
      <c r="H6">
        <v>5</v>
      </c>
      <c r="K6">
        <v>4</v>
      </c>
    </row>
    <row r="7" spans="1:13" x14ac:dyDescent="0.35">
      <c r="A7" t="s">
        <v>5</v>
      </c>
      <c r="B7">
        <v>3</v>
      </c>
      <c r="D7">
        <v>3</v>
      </c>
      <c r="G7">
        <v>0</v>
      </c>
      <c r="H7">
        <v>2</v>
      </c>
      <c r="I7">
        <v>2</v>
      </c>
    </row>
    <row r="8" spans="1:13" x14ac:dyDescent="0.35">
      <c r="A8" t="s">
        <v>6</v>
      </c>
      <c r="B8">
        <v>4</v>
      </c>
      <c r="C8">
        <v>2</v>
      </c>
      <c r="F8">
        <v>5</v>
      </c>
      <c r="G8">
        <v>2</v>
      </c>
      <c r="H8">
        <v>0</v>
      </c>
      <c r="I8">
        <v>2</v>
      </c>
      <c r="M8">
        <v>2</v>
      </c>
    </row>
    <row r="9" spans="1:13" x14ac:dyDescent="0.35">
      <c r="A9" t="s">
        <v>7</v>
      </c>
      <c r="B9">
        <v>1</v>
      </c>
      <c r="C9">
        <v>2</v>
      </c>
      <c r="D9">
        <v>2</v>
      </c>
      <c r="E9">
        <v>1</v>
      </c>
      <c r="G9">
        <v>2</v>
      </c>
      <c r="H9">
        <v>2</v>
      </c>
      <c r="I9">
        <v>0</v>
      </c>
      <c r="K9">
        <v>1</v>
      </c>
      <c r="M9">
        <v>3</v>
      </c>
    </row>
    <row r="10" spans="1:13" x14ac:dyDescent="0.35">
      <c r="A10" t="s">
        <v>8</v>
      </c>
      <c r="B10">
        <v>5</v>
      </c>
      <c r="C10">
        <v>5</v>
      </c>
      <c r="D10">
        <v>1</v>
      </c>
      <c r="E10">
        <v>2</v>
      </c>
      <c r="J10">
        <v>0</v>
      </c>
      <c r="L10">
        <v>4</v>
      </c>
    </row>
    <row r="11" spans="1:13" x14ac:dyDescent="0.35">
      <c r="A11" t="s">
        <v>9</v>
      </c>
      <c r="C11">
        <v>1</v>
      </c>
      <c r="F11">
        <v>4</v>
      </c>
      <c r="I11">
        <v>1</v>
      </c>
      <c r="K11">
        <v>0</v>
      </c>
      <c r="L11">
        <v>3</v>
      </c>
    </row>
    <row r="12" spans="1:13" x14ac:dyDescent="0.35">
      <c r="A12" t="s">
        <v>10</v>
      </c>
      <c r="B12">
        <v>1</v>
      </c>
      <c r="D12">
        <v>4</v>
      </c>
      <c r="J12">
        <v>4</v>
      </c>
      <c r="K12">
        <v>3</v>
      </c>
      <c r="L12">
        <v>0</v>
      </c>
      <c r="M12">
        <v>4</v>
      </c>
    </row>
    <row r="13" spans="1:13" x14ac:dyDescent="0.35">
      <c r="A13" t="s">
        <v>11</v>
      </c>
      <c r="B13">
        <v>4</v>
      </c>
      <c r="D13">
        <v>4</v>
      </c>
      <c r="H13">
        <v>2</v>
      </c>
      <c r="I13">
        <v>3</v>
      </c>
      <c r="L13">
        <v>4</v>
      </c>
      <c r="M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FC57-C709-4055-9693-D88C67CCA9BD}">
  <dimension ref="A1:M13"/>
  <sheetViews>
    <sheetView workbookViewId="0">
      <selection activeCell="N10" sqref="N10"/>
    </sheetView>
  </sheetViews>
  <sheetFormatPr defaultRowHeight="14.5" x14ac:dyDescent="0.35"/>
  <cols>
    <col min="1" max="13" width="3.6328125" customWidth="1"/>
  </cols>
  <sheetData>
    <row r="1" spans="1:13" x14ac:dyDescent="0.35">
      <c r="B1" s="1" t="str">
        <f>Лист1!B1</f>
        <v>e1</v>
      </c>
      <c r="C1" s="1" t="str">
        <f>Лист1!C1</f>
        <v>e2</v>
      </c>
      <c r="D1" s="1" t="str">
        <f>Лист1!D1</f>
        <v>e3</v>
      </c>
      <c r="E1" t="str">
        <f>Лист1!E1</f>
        <v>e4</v>
      </c>
      <c r="F1" s="1" t="str">
        <f>Лист1!F1</f>
        <v>e5</v>
      </c>
      <c r="G1" t="str">
        <f>Лист1!G1</f>
        <v>e6</v>
      </c>
      <c r="H1" s="1" t="str">
        <f>Лист1!H1</f>
        <v>e7</v>
      </c>
      <c r="I1" t="str">
        <f>Лист1!I1</f>
        <v>e8</v>
      </c>
      <c r="J1" s="1" t="str">
        <f>Лист1!J1</f>
        <v>e9</v>
      </c>
      <c r="K1" t="str">
        <f>Лист1!K1</f>
        <v>e10</v>
      </c>
      <c r="L1" t="str">
        <f>Лист1!L1</f>
        <v>e11</v>
      </c>
      <c r="M1" t="str">
        <f>Лист1!M1</f>
        <v>e12</v>
      </c>
    </row>
    <row r="2" spans="1:13" x14ac:dyDescent="0.35">
      <c r="A2" s="1" t="str">
        <f>Лист1!A2</f>
        <v>e1</v>
      </c>
      <c r="B2" s="12">
        <f>IF(Лист1!B2&gt;0,Лист1!B2,0)</f>
        <v>0</v>
      </c>
      <c r="C2">
        <f>IF(Лист1!C2&gt;0,Лист1!C2,0)</f>
        <v>0</v>
      </c>
      <c r="D2">
        <f>IF(Лист1!D2&gt;0,Лист1!D2,0)</f>
        <v>2</v>
      </c>
      <c r="E2">
        <f>IF(Лист1!E2&gt;0,Лист1!E2,0)</f>
        <v>3</v>
      </c>
      <c r="F2">
        <f>IF(Лист1!F2&gt;0,Лист1!F2,0)</f>
        <v>0</v>
      </c>
      <c r="G2">
        <f>IF(Лист1!G2&gt;0,Лист1!G2,0)</f>
        <v>3</v>
      </c>
      <c r="H2">
        <f>IF(Лист1!H2&gt;0,Лист1!H2,0)</f>
        <v>4</v>
      </c>
      <c r="I2">
        <f>IF(Лист1!I2&gt;0,Лист1!I2,0)</f>
        <v>1</v>
      </c>
      <c r="J2">
        <f>IF(Лист1!J2&gt;0,Лист1!J2,0)</f>
        <v>5</v>
      </c>
      <c r="K2">
        <f>IF(Лист1!K2&gt;0,Лист1!K2,0)</f>
        <v>0</v>
      </c>
      <c r="L2">
        <f>IF(Лист1!L2&gt;0,Лист1!L2,0)</f>
        <v>1</v>
      </c>
      <c r="M2">
        <f>IF(Лист1!M2&gt;0,Лист1!M2,0)</f>
        <v>4</v>
      </c>
    </row>
    <row r="3" spans="1:13" x14ac:dyDescent="0.35">
      <c r="A3" s="1" t="str">
        <f>Лист1!A3</f>
        <v>e2</v>
      </c>
      <c r="B3">
        <f>IF(Лист1!B3&gt;0,Лист1!B3,0)</f>
        <v>0</v>
      </c>
      <c r="C3" s="12">
        <f>IF(Лист1!C3&gt;0,Лист1!C3,0)</f>
        <v>0</v>
      </c>
      <c r="D3">
        <f>IF(Лист1!D3&gt;0,Лист1!D3,0)</f>
        <v>5</v>
      </c>
      <c r="E3">
        <f>IF(Лист1!E3&gt;0,Лист1!E3,0)</f>
        <v>0</v>
      </c>
      <c r="F3">
        <f>IF(Лист1!F3&gt;0,Лист1!F3,0)</f>
        <v>0</v>
      </c>
      <c r="G3">
        <f>IF(Лист1!G3&gt;0,Лист1!G3,0)</f>
        <v>0</v>
      </c>
      <c r="H3">
        <f>IF(Лист1!H3&gt;0,Лист1!H3,0)</f>
        <v>2</v>
      </c>
      <c r="I3">
        <f>IF(Лист1!I3&gt;0,Лист1!I3,0)</f>
        <v>2</v>
      </c>
      <c r="J3">
        <f>IF(Лист1!J3&gt;0,Лист1!J3,0)</f>
        <v>5</v>
      </c>
      <c r="K3">
        <f>IF(Лист1!K3&gt;0,Лист1!K3,0)</f>
        <v>1</v>
      </c>
      <c r="L3">
        <f>IF(Лист1!L3&gt;0,Лист1!L3,0)</f>
        <v>0</v>
      </c>
      <c r="M3">
        <f>IF(Лист1!M3&gt;0,Лист1!M3,0)</f>
        <v>0</v>
      </c>
    </row>
    <row r="4" spans="1:13" x14ac:dyDescent="0.35">
      <c r="A4" s="1" t="str">
        <f>Лист1!A4</f>
        <v>e3</v>
      </c>
      <c r="B4">
        <f>IF(Лист1!B4&gt;0,Лист1!B4,0)</f>
        <v>2</v>
      </c>
      <c r="C4">
        <f>IF(Лист1!C4&gt;0,Лист1!C4,0)</f>
        <v>5</v>
      </c>
      <c r="D4" s="12">
        <f>IF(Лист1!D4&gt;0,Лист1!D4,0)</f>
        <v>0</v>
      </c>
      <c r="E4">
        <f>IF(Лист1!E4&gt;0,Лист1!E4,0)</f>
        <v>1</v>
      </c>
      <c r="F4">
        <f>IF(Лист1!F4&gt;0,Лист1!F4,0)</f>
        <v>5</v>
      </c>
      <c r="G4">
        <f>IF(Лист1!G4&gt;0,Лист1!G4,0)</f>
        <v>3</v>
      </c>
      <c r="H4">
        <f>IF(Лист1!H4&gt;0,Лист1!H4,0)</f>
        <v>0</v>
      </c>
      <c r="I4">
        <f>IF(Лист1!I4&gt;0,Лист1!I4,0)</f>
        <v>2</v>
      </c>
      <c r="J4">
        <f>IF(Лист1!J4&gt;0,Лист1!J4,0)</f>
        <v>1</v>
      </c>
      <c r="K4">
        <f>IF(Лист1!K4&gt;0,Лист1!K4,0)</f>
        <v>0</v>
      </c>
      <c r="L4">
        <f>IF(Лист1!L4&gt;0,Лист1!L4,0)</f>
        <v>4</v>
      </c>
      <c r="M4">
        <f>IF(Лист1!M4&gt;0,Лист1!M4,0)</f>
        <v>4</v>
      </c>
    </row>
    <row r="5" spans="1:13" x14ac:dyDescent="0.35">
      <c r="A5" t="str">
        <f>Лист1!A5</f>
        <v>e4</v>
      </c>
      <c r="B5">
        <f>IF(Лист1!B5&gt;0,Лист1!B5,0)</f>
        <v>3</v>
      </c>
      <c r="C5">
        <f>IF(Лист1!C5&gt;0,Лист1!C5,0)</f>
        <v>0</v>
      </c>
      <c r="D5">
        <f>IF(Лист1!D5&gt;0,Лист1!D5,0)</f>
        <v>1</v>
      </c>
      <c r="E5" s="12">
        <f>IF(Лист1!E5&gt;0,Лист1!E5,0)</f>
        <v>0</v>
      </c>
      <c r="F5">
        <f>IF(Лист1!F5&gt;0,Лист1!F5,0)</f>
        <v>4</v>
      </c>
      <c r="G5">
        <f>IF(Лист1!G5&gt;0,Лист1!G5,0)</f>
        <v>0</v>
      </c>
      <c r="H5">
        <f>IF(Лист1!H5&gt;0,Лист1!H5,0)</f>
        <v>0</v>
      </c>
      <c r="I5">
        <f>IF(Лист1!I5&gt;0,Лист1!I5,0)</f>
        <v>1</v>
      </c>
      <c r="J5">
        <f>IF(Лист1!J5&gt;0,Лист1!J5,0)</f>
        <v>2</v>
      </c>
      <c r="K5">
        <f>IF(Лист1!K5&gt;0,Лист1!K5,0)</f>
        <v>0</v>
      </c>
      <c r="L5">
        <f>IF(Лист1!L5&gt;0,Лист1!L5,0)</f>
        <v>0</v>
      </c>
      <c r="M5">
        <f>IF(Лист1!M5&gt;0,Лист1!M5,0)</f>
        <v>0</v>
      </c>
    </row>
    <row r="6" spans="1:13" x14ac:dyDescent="0.35">
      <c r="A6" s="1" t="str">
        <f>Лист1!A6</f>
        <v>e5</v>
      </c>
      <c r="B6">
        <f>IF(Лист1!B6&gt;0,Лист1!B6,0)</f>
        <v>0</v>
      </c>
      <c r="C6">
        <f>IF(Лист1!C6&gt;0,Лист1!C6,0)</f>
        <v>0</v>
      </c>
      <c r="D6">
        <f>IF(Лист1!D6&gt;0,Лист1!D6,0)</f>
        <v>5</v>
      </c>
      <c r="E6">
        <f>IF(Лист1!E6&gt;0,Лист1!E6,0)</f>
        <v>4</v>
      </c>
      <c r="F6" s="12">
        <f>IF(Лист1!F6&gt;0,Лист1!F6,0)</f>
        <v>0</v>
      </c>
      <c r="G6">
        <f>IF(Лист1!G6&gt;0,Лист1!G6,0)</f>
        <v>0</v>
      </c>
      <c r="H6">
        <f>IF(Лист1!H6&gt;0,Лист1!H6,0)</f>
        <v>5</v>
      </c>
      <c r="I6">
        <f>IF(Лист1!I6&gt;0,Лист1!I6,0)</f>
        <v>0</v>
      </c>
      <c r="J6">
        <f>IF(Лист1!J6&gt;0,Лист1!J6,0)</f>
        <v>0</v>
      </c>
      <c r="K6">
        <f>IF(Лист1!K6&gt;0,Лист1!K6,0)</f>
        <v>4</v>
      </c>
      <c r="L6">
        <f>IF(Лист1!L6&gt;0,Лист1!L6,0)</f>
        <v>0</v>
      </c>
      <c r="M6">
        <f>IF(Лист1!M6&gt;0,Лист1!M6,0)</f>
        <v>0</v>
      </c>
    </row>
    <row r="7" spans="1:13" x14ac:dyDescent="0.35">
      <c r="A7" t="str">
        <f>Лист1!A7</f>
        <v>e6</v>
      </c>
      <c r="B7">
        <f>IF(Лист1!B7&gt;0,Лист1!B7,0)</f>
        <v>3</v>
      </c>
      <c r="C7">
        <f>IF(Лист1!C7&gt;0,Лист1!C7,0)</f>
        <v>0</v>
      </c>
      <c r="D7">
        <f>IF(Лист1!D7&gt;0,Лист1!D7,0)</f>
        <v>3</v>
      </c>
      <c r="E7">
        <f>IF(Лист1!E7&gt;0,Лист1!E7,0)</f>
        <v>0</v>
      </c>
      <c r="F7">
        <f>IF(Лист1!F7&gt;0,Лист1!F7,0)</f>
        <v>0</v>
      </c>
      <c r="G7" s="12">
        <f>IF(Лист1!G7&gt;0,Лист1!G7,0)</f>
        <v>0</v>
      </c>
      <c r="H7">
        <f>IF(Лист1!H7&gt;0,Лист1!H7,0)</f>
        <v>2</v>
      </c>
      <c r="I7">
        <f>IF(Лист1!I7&gt;0,Лист1!I7,0)</f>
        <v>2</v>
      </c>
      <c r="J7">
        <f>IF(Лист1!J7&gt;0,Лист1!J7,0)</f>
        <v>0</v>
      </c>
      <c r="K7">
        <f>IF(Лист1!K7&gt;0,Лист1!K7,0)</f>
        <v>0</v>
      </c>
      <c r="L7">
        <f>IF(Лист1!L7&gt;0,Лист1!L7,0)</f>
        <v>0</v>
      </c>
      <c r="M7">
        <f>IF(Лист1!M7&gt;0,Лист1!M7,0)</f>
        <v>0</v>
      </c>
    </row>
    <row r="8" spans="1:13" x14ac:dyDescent="0.35">
      <c r="A8" s="1" t="str">
        <f>Лист1!A8</f>
        <v>e7</v>
      </c>
      <c r="B8">
        <f>IF(Лист1!B8&gt;0,Лист1!B8,0)</f>
        <v>4</v>
      </c>
      <c r="C8">
        <f>IF(Лист1!C8&gt;0,Лист1!C8,0)</f>
        <v>2</v>
      </c>
      <c r="D8">
        <f>IF(Лист1!D8&gt;0,Лист1!D8,0)</f>
        <v>0</v>
      </c>
      <c r="E8">
        <f>IF(Лист1!E8&gt;0,Лист1!E8,0)</f>
        <v>0</v>
      </c>
      <c r="F8">
        <f>IF(Лист1!F8&gt;0,Лист1!F8,0)</f>
        <v>5</v>
      </c>
      <c r="G8">
        <f>IF(Лист1!G8&gt;0,Лист1!G8,0)</f>
        <v>2</v>
      </c>
      <c r="H8" s="12">
        <f>IF(Лист1!H8&gt;0,Лист1!H8,0)</f>
        <v>0</v>
      </c>
      <c r="I8">
        <f>IF(Лист1!I8&gt;0,Лист1!I8,0)</f>
        <v>2</v>
      </c>
      <c r="J8">
        <f>IF(Лист1!J8&gt;0,Лист1!J8,0)</f>
        <v>0</v>
      </c>
      <c r="K8">
        <f>IF(Лист1!K8&gt;0,Лист1!K8,0)</f>
        <v>0</v>
      </c>
      <c r="L8">
        <f>IF(Лист1!L8&gt;0,Лист1!L8,0)</f>
        <v>0</v>
      </c>
      <c r="M8">
        <f>IF(Лист1!M8&gt;0,Лист1!M8,0)</f>
        <v>2</v>
      </c>
    </row>
    <row r="9" spans="1:13" x14ac:dyDescent="0.35">
      <c r="A9" t="str">
        <f>Лист1!A9</f>
        <v>e8</v>
      </c>
      <c r="B9">
        <f>IF(Лист1!B9&gt;0,Лист1!B9,0)</f>
        <v>1</v>
      </c>
      <c r="C9">
        <f>IF(Лист1!C9&gt;0,Лист1!C9,0)</f>
        <v>2</v>
      </c>
      <c r="D9">
        <f>IF(Лист1!D9&gt;0,Лист1!D9,0)</f>
        <v>2</v>
      </c>
      <c r="E9">
        <f>IF(Лист1!E9&gt;0,Лист1!E9,0)</f>
        <v>1</v>
      </c>
      <c r="F9">
        <f>IF(Лист1!F9&gt;0,Лист1!F9,0)</f>
        <v>0</v>
      </c>
      <c r="G9">
        <f>IF(Лист1!G9&gt;0,Лист1!G9,0)</f>
        <v>2</v>
      </c>
      <c r="H9">
        <f>IF(Лист1!H9&gt;0,Лист1!H9,0)</f>
        <v>2</v>
      </c>
      <c r="I9" s="12">
        <f>IF(Лист1!I9&gt;0,Лист1!I9,0)</f>
        <v>0</v>
      </c>
      <c r="J9">
        <f>IF(Лист1!J9&gt;0,Лист1!J9,0)</f>
        <v>0</v>
      </c>
      <c r="K9">
        <f>IF(Лист1!K9&gt;0,Лист1!K9,0)</f>
        <v>1</v>
      </c>
      <c r="L9">
        <f>IF(Лист1!L9&gt;0,Лист1!L9,0)</f>
        <v>0</v>
      </c>
      <c r="M9">
        <f>IF(Лист1!M9&gt;0,Лист1!M9,0)</f>
        <v>3</v>
      </c>
    </row>
    <row r="10" spans="1:13" x14ac:dyDescent="0.35">
      <c r="A10" s="1" t="str">
        <f>Лист1!A10</f>
        <v>e9</v>
      </c>
      <c r="B10">
        <f>IF(Лист1!B10&gt;0,Лист1!B10,0)</f>
        <v>5</v>
      </c>
      <c r="C10">
        <f>IF(Лист1!C10&gt;0,Лист1!C10,0)</f>
        <v>5</v>
      </c>
      <c r="D10">
        <f>IF(Лист1!D10&gt;0,Лист1!D10,0)</f>
        <v>1</v>
      </c>
      <c r="E10">
        <f>IF(Лист1!E10&gt;0,Лист1!E10,0)</f>
        <v>2</v>
      </c>
      <c r="F10">
        <f>IF(Лист1!F10&gt;0,Лист1!F10,0)</f>
        <v>0</v>
      </c>
      <c r="G10">
        <f>IF(Лист1!G10&gt;0,Лист1!G10,0)</f>
        <v>0</v>
      </c>
      <c r="H10">
        <f>IF(Лист1!H10&gt;0,Лист1!H10,0)</f>
        <v>0</v>
      </c>
      <c r="I10">
        <f>IF(Лист1!I10&gt;0,Лист1!I10,0)</f>
        <v>0</v>
      </c>
      <c r="J10" s="12">
        <f>IF(Лист1!J10&gt;0,Лист1!J10,0)</f>
        <v>0</v>
      </c>
      <c r="K10">
        <f>IF(Лист1!K10&gt;0,Лист1!K10,0)</f>
        <v>0</v>
      </c>
      <c r="L10">
        <f>IF(Лист1!L10&gt;0,Лист1!L10,0)</f>
        <v>4</v>
      </c>
      <c r="M10">
        <f>IF(Лист1!M10&gt;0,Лист1!M10,0)</f>
        <v>0</v>
      </c>
    </row>
    <row r="11" spans="1:13" x14ac:dyDescent="0.35">
      <c r="A11" t="str">
        <f>Лист1!A11</f>
        <v>e10</v>
      </c>
      <c r="B11">
        <f>IF(Лист1!B11&gt;0,Лист1!B11,0)</f>
        <v>0</v>
      </c>
      <c r="C11">
        <f>IF(Лист1!C11&gt;0,Лист1!C11,0)</f>
        <v>1</v>
      </c>
      <c r="D11">
        <f>IF(Лист1!D11&gt;0,Лист1!D11,0)</f>
        <v>0</v>
      </c>
      <c r="E11">
        <f>IF(Лист1!E11&gt;0,Лист1!E11,0)</f>
        <v>0</v>
      </c>
      <c r="F11">
        <f>IF(Лист1!F11&gt;0,Лист1!F11,0)</f>
        <v>4</v>
      </c>
      <c r="G11">
        <f>IF(Лист1!G11&gt;0,Лист1!G11,0)</f>
        <v>0</v>
      </c>
      <c r="H11">
        <f>IF(Лист1!H11&gt;0,Лист1!H11,0)</f>
        <v>0</v>
      </c>
      <c r="I11">
        <f>IF(Лист1!I11&gt;0,Лист1!I11,0)</f>
        <v>1</v>
      </c>
      <c r="J11">
        <f>IF(Лист1!J11&gt;0,Лист1!J11,0)</f>
        <v>0</v>
      </c>
      <c r="K11" s="12">
        <f>IF(Лист1!K11&gt;0,Лист1!K11,0)</f>
        <v>0</v>
      </c>
      <c r="L11">
        <f>IF(Лист1!L11&gt;0,Лист1!L11,0)</f>
        <v>3</v>
      </c>
      <c r="M11">
        <f>IF(Лист1!M11&gt;0,Лист1!M11,0)</f>
        <v>0</v>
      </c>
    </row>
    <row r="12" spans="1:13" x14ac:dyDescent="0.35">
      <c r="A12" t="str">
        <f>Лист1!A12</f>
        <v>e11</v>
      </c>
      <c r="B12">
        <f>IF(Лист1!B12&gt;0,Лист1!B12,0)</f>
        <v>1</v>
      </c>
      <c r="C12">
        <f>IF(Лист1!C12&gt;0,Лист1!C12,0)</f>
        <v>0</v>
      </c>
      <c r="D12">
        <f>IF(Лист1!D12&gt;0,Лист1!D12,0)</f>
        <v>4</v>
      </c>
      <c r="E12">
        <f>IF(Лист1!E12&gt;0,Лист1!E12,0)</f>
        <v>0</v>
      </c>
      <c r="F12">
        <f>IF(Лист1!F12&gt;0,Лист1!F12,0)</f>
        <v>0</v>
      </c>
      <c r="G12">
        <f>IF(Лист1!G12&gt;0,Лист1!G12,0)</f>
        <v>0</v>
      </c>
      <c r="H12">
        <f>IF(Лист1!H12&gt;0,Лист1!H12,0)</f>
        <v>0</v>
      </c>
      <c r="I12">
        <f>IF(Лист1!I12&gt;0,Лист1!I12,0)</f>
        <v>0</v>
      </c>
      <c r="J12">
        <f>IF(Лист1!J12&gt;0,Лист1!J12,0)</f>
        <v>4</v>
      </c>
      <c r="K12">
        <f>IF(Лист1!K12&gt;0,Лист1!K12,0)</f>
        <v>3</v>
      </c>
      <c r="L12" s="12">
        <f>IF(Лист1!L12&gt;0,Лист1!L12,0)</f>
        <v>0</v>
      </c>
      <c r="M12">
        <f>IF(Лист1!M12&gt;0,Лист1!M12,0)</f>
        <v>4</v>
      </c>
    </row>
    <row r="13" spans="1:13" x14ac:dyDescent="0.35">
      <c r="A13" t="str">
        <f>Лист1!A13</f>
        <v>e12</v>
      </c>
      <c r="B13">
        <f>IF(Лист1!B13&gt;0,Лист1!B13,0)</f>
        <v>4</v>
      </c>
      <c r="C13">
        <f>IF(Лист1!C13&gt;0,Лист1!C13,0)</f>
        <v>0</v>
      </c>
      <c r="D13">
        <f>IF(Лист1!D13&gt;0,Лист1!D13,0)</f>
        <v>4</v>
      </c>
      <c r="E13">
        <f>IF(Лист1!E13&gt;0,Лист1!E13,0)</f>
        <v>0</v>
      </c>
      <c r="F13">
        <f>IF(Лист1!F13&gt;0,Лист1!F13,0)</f>
        <v>0</v>
      </c>
      <c r="G13">
        <f>IF(Лист1!G13&gt;0,Лист1!G13,0)</f>
        <v>0</v>
      </c>
      <c r="H13">
        <f>IF(Лист1!H13&gt;0,Лист1!H13,0)</f>
        <v>2</v>
      </c>
      <c r="I13">
        <f>IF(Лист1!I13&gt;0,Лист1!I13,0)</f>
        <v>3</v>
      </c>
      <c r="J13">
        <f>IF(Лист1!J13&gt;0,Лист1!J13,0)</f>
        <v>0</v>
      </c>
      <c r="K13">
        <f>IF(Лист1!K13&gt;0,Лист1!K13,0)</f>
        <v>0</v>
      </c>
      <c r="L13">
        <f>IF(Лист1!L13&gt;0,Лист1!L13,0)</f>
        <v>4</v>
      </c>
      <c r="M13" s="12">
        <f>IF(Лист1!M13&gt;0,Лист1!M13,0)</f>
        <v>0</v>
      </c>
    </row>
  </sheetData>
  <conditionalFormatting sqref="B2:M13">
    <cfRule type="cellIs" dxfId="1" priority="1" operator="greaterThan">
      <formula>4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1159-9774-4828-809C-01AAD69D074A}">
  <dimension ref="A1:U17"/>
  <sheetViews>
    <sheetView workbookViewId="0">
      <selection activeCell="P11" sqref="P11"/>
    </sheetView>
  </sheetViews>
  <sheetFormatPr defaultRowHeight="14.5" x14ac:dyDescent="0.35"/>
  <cols>
    <col min="1" max="16" width="5.6328125" customWidth="1"/>
  </cols>
  <sheetData>
    <row r="1" spans="1:18" x14ac:dyDescent="0.35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8" x14ac:dyDescent="0.35">
      <c r="A2" t="s">
        <v>25</v>
      </c>
      <c r="B2">
        <v>0</v>
      </c>
      <c r="C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R2">
        <f>SUM(B2:P2)</f>
        <v>9</v>
      </c>
    </row>
    <row r="3" spans="1:18" x14ac:dyDescent="0.35">
      <c r="A3" t="s">
        <v>26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R3">
        <f t="shared" ref="R3:R16" si="0">SUM(B3:P3)</f>
        <v>6</v>
      </c>
    </row>
    <row r="4" spans="1:18" x14ac:dyDescent="0.35">
      <c r="A4" t="s">
        <v>27</v>
      </c>
      <c r="C4">
        <v>1</v>
      </c>
      <c r="D4">
        <v>0</v>
      </c>
      <c r="I4">
        <v>1</v>
      </c>
      <c r="J4">
        <v>1</v>
      </c>
      <c r="K4">
        <v>1</v>
      </c>
      <c r="L4">
        <v>1</v>
      </c>
      <c r="M4">
        <v>1</v>
      </c>
      <c r="O4">
        <v>1</v>
      </c>
      <c r="P4">
        <v>1</v>
      </c>
      <c r="R4">
        <f t="shared" si="0"/>
        <v>8</v>
      </c>
    </row>
    <row r="5" spans="1:18" x14ac:dyDescent="0.35">
      <c r="A5" t="s">
        <v>28</v>
      </c>
      <c r="C5">
        <v>1</v>
      </c>
      <c r="E5">
        <v>0</v>
      </c>
      <c r="I5">
        <v>1</v>
      </c>
      <c r="J5">
        <v>1</v>
      </c>
      <c r="K5">
        <v>1</v>
      </c>
      <c r="L5">
        <v>1</v>
      </c>
      <c r="O5">
        <v>1</v>
      </c>
      <c r="P5">
        <v>1</v>
      </c>
      <c r="R5">
        <f t="shared" si="0"/>
        <v>7</v>
      </c>
    </row>
    <row r="6" spans="1:18" x14ac:dyDescent="0.35">
      <c r="A6" t="s">
        <v>40</v>
      </c>
      <c r="C6">
        <v>1</v>
      </c>
      <c r="F6">
        <v>0</v>
      </c>
      <c r="I6">
        <v>1</v>
      </c>
      <c r="J6">
        <v>1</v>
      </c>
      <c r="O6">
        <v>1</v>
      </c>
      <c r="R6">
        <f t="shared" si="0"/>
        <v>4</v>
      </c>
    </row>
    <row r="7" spans="1:18" x14ac:dyDescent="0.35">
      <c r="A7" t="s">
        <v>30</v>
      </c>
      <c r="C7">
        <v>1</v>
      </c>
      <c r="G7">
        <v>0</v>
      </c>
      <c r="I7">
        <v>1</v>
      </c>
      <c r="R7">
        <f t="shared" si="0"/>
        <v>2</v>
      </c>
    </row>
    <row r="8" spans="1:18" x14ac:dyDescent="0.35">
      <c r="A8" t="s">
        <v>31</v>
      </c>
      <c r="C8">
        <v>1</v>
      </c>
      <c r="H8">
        <v>0</v>
      </c>
      <c r="R8">
        <f t="shared" si="0"/>
        <v>1</v>
      </c>
    </row>
    <row r="9" spans="1:18" x14ac:dyDescent="0.35">
      <c r="A9" t="s">
        <v>32</v>
      </c>
      <c r="B9">
        <v>1</v>
      </c>
      <c r="D9">
        <v>1</v>
      </c>
      <c r="E9">
        <v>1</v>
      </c>
      <c r="F9">
        <v>1</v>
      </c>
      <c r="G9">
        <v>1</v>
      </c>
      <c r="I9">
        <v>0</v>
      </c>
      <c r="R9">
        <f t="shared" si="0"/>
        <v>5</v>
      </c>
    </row>
    <row r="10" spans="1:18" x14ac:dyDescent="0.35">
      <c r="A10" t="s">
        <v>33</v>
      </c>
      <c r="B10">
        <v>1</v>
      </c>
      <c r="D10">
        <v>1</v>
      </c>
      <c r="E10">
        <v>1</v>
      </c>
      <c r="F10">
        <v>1</v>
      </c>
      <c r="J10">
        <v>0</v>
      </c>
      <c r="R10">
        <f t="shared" si="0"/>
        <v>4</v>
      </c>
    </row>
    <row r="11" spans="1:18" x14ac:dyDescent="0.35">
      <c r="A11" t="s">
        <v>34</v>
      </c>
      <c r="B11">
        <v>1</v>
      </c>
      <c r="D11">
        <v>1</v>
      </c>
      <c r="E11">
        <v>1</v>
      </c>
      <c r="K11">
        <v>0</v>
      </c>
      <c r="O11">
        <v>1</v>
      </c>
      <c r="R11">
        <f t="shared" si="0"/>
        <v>4</v>
      </c>
    </row>
    <row r="12" spans="1:18" x14ac:dyDescent="0.35">
      <c r="A12" t="s">
        <v>35</v>
      </c>
      <c r="B12">
        <v>1</v>
      </c>
      <c r="D12">
        <v>1</v>
      </c>
      <c r="E12">
        <v>1</v>
      </c>
      <c r="L12">
        <v>0</v>
      </c>
      <c r="O12">
        <v>1</v>
      </c>
      <c r="R12">
        <f t="shared" si="0"/>
        <v>4</v>
      </c>
    </row>
    <row r="13" spans="1:18" x14ac:dyDescent="0.35">
      <c r="A13" t="s">
        <v>36</v>
      </c>
      <c r="B13">
        <v>1</v>
      </c>
      <c r="D13">
        <v>1</v>
      </c>
      <c r="M13">
        <v>0</v>
      </c>
      <c r="O13">
        <v>1</v>
      </c>
      <c r="P13">
        <v>1</v>
      </c>
      <c r="R13">
        <f t="shared" si="0"/>
        <v>4</v>
      </c>
    </row>
    <row r="14" spans="1:18" x14ac:dyDescent="0.35">
      <c r="A14" t="s">
        <v>37</v>
      </c>
      <c r="B14">
        <v>1</v>
      </c>
      <c r="N14">
        <v>0</v>
      </c>
      <c r="O14">
        <v>1</v>
      </c>
      <c r="P14">
        <v>1</v>
      </c>
      <c r="R14">
        <f t="shared" si="0"/>
        <v>3</v>
      </c>
    </row>
    <row r="15" spans="1:18" x14ac:dyDescent="0.35">
      <c r="A15" t="s">
        <v>38</v>
      </c>
      <c r="B15">
        <v>1</v>
      </c>
      <c r="D15">
        <v>1</v>
      </c>
      <c r="E15">
        <v>1</v>
      </c>
      <c r="F15">
        <v>1</v>
      </c>
      <c r="K15">
        <v>1</v>
      </c>
      <c r="L15">
        <v>1</v>
      </c>
      <c r="M15">
        <v>1</v>
      </c>
      <c r="N15">
        <v>1</v>
      </c>
      <c r="O15">
        <v>0</v>
      </c>
      <c r="R15">
        <f t="shared" si="0"/>
        <v>8</v>
      </c>
    </row>
    <row r="16" spans="1:18" x14ac:dyDescent="0.35">
      <c r="A16" t="s">
        <v>39</v>
      </c>
      <c r="B16">
        <v>1</v>
      </c>
      <c r="D16">
        <v>1</v>
      </c>
      <c r="E16">
        <v>1</v>
      </c>
      <c r="M16">
        <v>1</v>
      </c>
      <c r="N16">
        <v>1</v>
      </c>
      <c r="P16">
        <v>0</v>
      </c>
      <c r="R16">
        <f t="shared" si="0"/>
        <v>5</v>
      </c>
    </row>
    <row r="17" spans="2:21" x14ac:dyDescent="0.35">
      <c r="B17">
        <f>SUM(B2:B16)</f>
        <v>9</v>
      </c>
      <c r="C17">
        <f t="shared" ref="C17:P17" si="1">SUM(C2:C16)</f>
        <v>6</v>
      </c>
      <c r="D17">
        <f t="shared" si="1"/>
        <v>8</v>
      </c>
      <c r="E17">
        <f t="shared" si="1"/>
        <v>7</v>
      </c>
      <c r="F17">
        <f t="shared" si="1"/>
        <v>4</v>
      </c>
      <c r="G17">
        <f t="shared" si="1"/>
        <v>2</v>
      </c>
      <c r="H17">
        <f t="shared" si="1"/>
        <v>1</v>
      </c>
      <c r="I17">
        <f t="shared" si="1"/>
        <v>5</v>
      </c>
      <c r="J17">
        <f t="shared" si="1"/>
        <v>4</v>
      </c>
      <c r="K17">
        <f t="shared" si="1"/>
        <v>4</v>
      </c>
      <c r="L17">
        <f t="shared" si="1"/>
        <v>4</v>
      </c>
      <c r="M17">
        <f t="shared" si="1"/>
        <v>4</v>
      </c>
      <c r="N17">
        <f t="shared" si="1"/>
        <v>3</v>
      </c>
      <c r="O17">
        <f t="shared" si="1"/>
        <v>8</v>
      </c>
      <c r="P17">
        <f t="shared" si="1"/>
        <v>5</v>
      </c>
      <c r="T17">
        <f>SUM(B17:P17)</f>
        <v>74</v>
      </c>
      <c r="U17">
        <f>SUM(R2:R16)</f>
        <v>74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37A8-D796-4FC4-83A9-A257C3A833FF}">
  <dimension ref="A1:P16"/>
  <sheetViews>
    <sheetView topLeftCell="C1" workbookViewId="0">
      <selection activeCell="T6" sqref="T6"/>
    </sheetView>
  </sheetViews>
  <sheetFormatPr defaultRowHeight="14.5" x14ac:dyDescent="0.35"/>
  <cols>
    <col min="1" max="16" width="5.6328125" customWidth="1"/>
  </cols>
  <sheetData>
    <row r="1" spans="1:16" x14ac:dyDescent="0.35">
      <c r="B1" t="str">
        <f>Лист5!B1</f>
        <v>p1 4</v>
      </c>
      <c r="C1" t="str">
        <f>Лист5!C1</f>
        <v>p2 12</v>
      </c>
      <c r="D1" t="str">
        <f>Лист5!D1</f>
        <v>p1 5</v>
      </c>
      <c r="E1" t="str">
        <f>Лист5!E1</f>
        <v>p1 6</v>
      </c>
      <c r="F1" t="str">
        <f>Лист5!F1</f>
        <v>p1 9</v>
      </c>
      <c r="G1" t="str">
        <f>Лист5!G1</f>
        <v>p1 10</v>
      </c>
      <c r="H1" t="str">
        <f>Лист5!H1</f>
        <v>p1 11</v>
      </c>
      <c r="I1" t="str">
        <f>Лист5!I1</f>
        <v>p2 11</v>
      </c>
      <c r="J1" t="str">
        <f>Лист5!J1</f>
        <v>p2 10</v>
      </c>
      <c r="K1" t="str">
        <f>Лист5!K1</f>
        <v>p2 9</v>
      </c>
      <c r="L1" t="str">
        <f>Лист5!L1</f>
        <v>p2 8</v>
      </c>
      <c r="M1" t="str">
        <f>Лист5!M1</f>
        <v>p2 6</v>
      </c>
      <c r="N1" t="str">
        <f>Лист5!N1</f>
        <v>p2 5</v>
      </c>
      <c r="O1" t="str">
        <f>Лист5!O1</f>
        <v>p3 10</v>
      </c>
      <c r="P1" t="str">
        <f>Лист5!P1</f>
        <v>p3 7</v>
      </c>
    </row>
    <row r="2" spans="1:16" x14ac:dyDescent="0.35">
      <c r="A2" t="str">
        <f>Лист5!A2</f>
        <v>p1 4</v>
      </c>
      <c r="B2">
        <f>IF(Лист5!B2&gt;0,1,0)</f>
        <v>0</v>
      </c>
      <c r="C2">
        <f>IF(Лист5!C2&gt;0,1,0)</f>
        <v>1</v>
      </c>
      <c r="D2">
        <f>IF(Лист5!D2&gt;0,1,0)</f>
        <v>0</v>
      </c>
      <c r="E2">
        <f>IF(Лист5!E2&gt;0,1,0)</f>
        <v>0</v>
      </c>
      <c r="F2">
        <f>IF(Лист5!F2&gt;0,1,0)</f>
        <v>0</v>
      </c>
      <c r="G2">
        <f>IF(Лист5!G2&gt;0,1,0)</f>
        <v>0</v>
      </c>
      <c r="H2">
        <f>IF(Лист5!H2&gt;0,1,0)</f>
        <v>0</v>
      </c>
      <c r="I2">
        <f>IF(Лист5!I2&gt;0,1,0)</f>
        <v>1</v>
      </c>
      <c r="J2">
        <f>IF(Лист5!J2&gt;0,1,0)</f>
        <v>1</v>
      </c>
      <c r="K2">
        <f>IF(Лист5!K2&gt;0,1,0)</f>
        <v>1</v>
      </c>
      <c r="L2">
        <f>IF(Лист5!L2&gt;0,1,0)</f>
        <v>1</v>
      </c>
      <c r="M2">
        <f>IF(Лист5!M2&gt;0,1,0)</f>
        <v>1</v>
      </c>
      <c r="N2">
        <f>IF(Лист5!N2&gt;0,1,0)</f>
        <v>1</v>
      </c>
      <c r="O2">
        <f>IF(Лист5!O2&gt;0,1,0)</f>
        <v>1</v>
      </c>
      <c r="P2">
        <f>IF(Лист5!P2&gt;0,1,0)</f>
        <v>1</v>
      </c>
    </row>
    <row r="3" spans="1:16" x14ac:dyDescent="0.35">
      <c r="A3" t="str">
        <f>Лист5!A3</f>
        <v>p2 12</v>
      </c>
      <c r="B3">
        <f>IF(Лист5!B3&gt;0,1,0)</f>
        <v>1</v>
      </c>
      <c r="C3">
        <f>IF(Лист5!C3&gt;0,1,0)</f>
        <v>0</v>
      </c>
      <c r="D3">
        <f>IF(Лист5!D3&gt;0,1,0)</f>
        <v>1</v>
      </c>
      <c r="E3">
        <f>IF(Лист5!E3&gt;0,1,0)</f>
        <v>1</v>
      </c>
      <c r="F3">
        <f>IF(Лист5!F3&gt;0,1,0)</f>
        <v>1</v>
      </c>
      <c r="G3">
        <f>IF(Лист5!G3&gt;0,1,0)</f>
        <v>1</v>
      </c>
      <c r="H3">
        <f>IF(Лист5!H3&gt;0,1,0)</f>
        <v>1</v>
      </c>
      <c r="I3">
        <f>IF(Лист5!I3&gt;0,1,0)</f>
        <v>0</v>
      </c>
      <c r="J3">
        <f>IF(Лист5!J3&gt;0,1,0)</f>
        <v>0</v>
      </c>
      <c r="K3">
        <f>IF(Лист5!K3&gt;0,1,0)</f>
        <v>0</v>
      </c>
      <c r="L3">
        <f>IF(Лист5!L3&gt;0,1,0)</f>
        <v>0</v>
      </c>
      <c r="M3">
        <f>IF(Лист5!M3&gt;0,1,0)</f>
        <v>0</v>
      </c>
      <c r="N3">
        <f>IF(Лист5!N3&gt;0,1,0)</f>
        <v>0</v>
      </c>
      <c r="O3">
        <f>IF(Лист5!O3&gt;0,1,0)</f>
        <v>0</v>
      </c>
      <c r="P3">
        <f>IF(Лист5!P3&gt;0,1,0)</f>
        <v>0</v>
      </c>
    </row>
    <row r="4" spans="1:16" x14ac:dyDescent="0.35">
      <c r="A4" t="str">
        <f>Лист5!A4</f>
        <v>p1 5</v>
      </c>
      <c r="B4">
        <f>IF(Лист5!B4&gt;0,1,0)</f>
        <v>0</v>
      </c>
      <c r="C4">
        <f>IF(Лист5!C4&gt;0,1,0)</f>
        <v>1</v>
      </c>
      <c r="D4">
        <f>IF(Лист5!D4&gt;0,1,0)</f>
        <v>0</v>
      </c>
      <c r="E4">
        <f>IF(Лист5!E4&gt;0,1,0)</f>
        <v>0</v>
      </c>
      <c r="F4">
        <f>IF(Лист5!F4&gt;0,1,0)</f>
        <v>0</v>
      </c>
      <c r="G4">
        <f>IF(Лист5!G4&gt;0,1,0)</f>
        <v>0</v>
      </c>
      <c r="H4">
        <f>IF(Лист5!H4&gt;0,1,0)</f>
        <v>0</v>
      </c>
      <c r="I4">
        <f>IF(Лист5!I4&gt;0,1,0)</f>
        <v>1</v>
      </c>
      <c r="J4">
        <f>IF(Лист5!J4&gt;0,1,0)</f>
        <v>1</v>
      </c>
      <c r="K4">
        <f>IF(Лист5!K4&gt;0,1,0)</f>
        <v>1</v>
      </c>
      <c r="L4">
        <f>IF(Лист5!L4&gt;0,1,0)</f>
        <v>1</v>
      </c>
      <c r="M4">
        <f>IF(Лист5!M4&gt;0,1,0)</f>
        <v>1</v>
      </c>
      <c r="N4">
        <f>IF(Лист5!N4&gt;0,1,0)</f>
        <v>0</v>
      </c>
      <c r="O4">
        <f>IF(Лист5!O4&gt;0,1,0)</f>
        <v>1</v>
      </c>
      <c r="P4">
        <f>IF(Лист5!P4&gt;0,1,0)</f>
        <v>1</v>
      </c>
    </row>
    <row r="5" spans="1:16" x14ac:dyDescent="0.35">
      <c r="A5" t="str">
        <f>Лист5!A5</f>
        <v>p1 6</v>
      </c>
      <c r="B5">
        <f>IF(Лист5!B5&gt;0,1,0)</f>
        <v>0</v>
      </c>
      <c r="C5">
        <f>IF(Лист5!C5&gt;0,1,0)</f>
        <v>1</v>
      </c>
      <c r="D5">
        <f>IF(Лист5!D5&gt;0,1,0)</f>
        <v>0</v>
      </c>
      <c r="E5">
        <f>IF(Лист5!E5&gt;0,1,0)</f>
        <v>0</v>
      </c>
      <c r="F5">
        <f>IF(Лист5!F5&gt;0,1,0)</f>
        <v>0</v>
      </c>
      <c r="G5">
        <f>IF(Лист5!G5&gt;0,1,0)</f>
        <v>0</v>
      </c>
      <c r="H5">
        <f>IF(Лист5!H5&gt;0,1,0)</f>
        <v>0</v>
      </c>
      <c r="I5">
        <f>IF(Лист5!I5&gt;0,1,0)</f>
        <v>1</v>
      </c>
      <c r="J5">
        <f>IF(Лист5!J5&gt;0,1,0)</f>
        <v>1</v>
      </c>
      <c r="K5">
        <f>IF(Лист5!K5&gt;0,1,0)</f>
        <v>1</v>
      </c>
      <c r="L5">
        <f>IF(Лист5!L5&gt;0,1,0)</f>
        <v>1</v>
      </c>
      <c r="M5">
        <f>IF(Лист5!M5&gt;0,1,0)</f>
        <v>0</v>
      </c>
      <c r="N5">
        <f>IF(Лист5!N5&gt;0,1,0)</f>
        <v>0</v>
      </c>
      <c r="O5">
        <f>IF(Лист5!O5&gt;0,1,0)</f>
        <v>1</v>
      </c>
      <c r="P5">
        <f>IF(Лист5!P5&gt;0,1,0)</f>
        <v>1</v>
      </c>
    </row>
    <row r="6" spans="1:16" x14ac:dyDescent="0.35">
      <c r="A6" t="str">
        <f>Лист5!A6</f>
        <v>p 1 9</v>
      </c>
      <c r="B6">
        <f>IF(Лист5!B6&gt;0,1,0)</f>
        <v>0</v>
      </c>
      <c r="C6">
        <f>IF(Лист5!C6&gt;0,1,0)</f>
        <v>1</v>
      </c>
      <c r="D6">
        <f>IF(Лист5!D6&gt;0,1,0)</f>
        <v>0</v>
      </c>
      <c r="E6">
        <f>IF(Лист5!E6&gt;0,1,0)</f>
        <v>0</v>
      </c>
      <c r="F6">
        <f>IF(Лист5!F6&gt;0,1,0)</f>
        <v>0</v>
      </c>
      <c r="G6">
        <f>IF(Лист5!G6&gt;0,1,0)</f>
        <v>0</v>
      </c>
      <c r="H6">
        <f>IF(Лист5!H6&gt;0,1,0)</f>
        <v>0</v>
      </c>
      <c r="I6">
        <f>IF(Лист5!I6&gt;0,1,0)</f>
        <v>1</v>
      </c>
      <c r="J6">
        <f>IF(Лист5!J6&gt;0,1,0)</f>
        <v>1</v>
      </c>
      <c r="K6">
        <f>IF(Лист5!K6&gt;0,1,0)</f>
        <v>0</v>
      </c>
      <c r="L6">
        <f>IF(Лист5!L6&gt;0,1,0)</f>
        <v>0</v>
      </c>
      <c r="M6">
        <f>IF(Лист5!M6&gt;0,1,0)</f>
        <v>0</v>
      </c>
      <c r="N6">
        <f>IF(Лист5!N6&gt;0,1,0)</f>
        <v>0</v>
      </c>
      <c r="O6">
        <f>IF(Лист5!O6&gt;0,1,0)</f>
        <v>1</v>
      </c>
      <c r="P6">
        <f>IF(Лист5!P6&gt;0,1,0)</f>
        <v>0</v>
      </c>
    </row>
    <row r="7" spans="1:16" x14ac:dyDescent="0.35">
      <c r="A7" t="str">
        <f>Лист5!A7</f>
        <v>p1 10</v>
      </c>
      <c r="B7">
        <f>IF(Лист5!B7&gt;0,1,0)</f>
        <v>0</v>
      </c>
      <c r="C7">
        <f>IF(Лист5!C7&gt;0,1,0)</f>
        <v>1</v>
      </c>
      <c r="D7">
        <f>IF(Лист5!D7&gt;0,1,0)</f>
        <v>0</v>
      </c>
      <c r="E7">
        <f>IF(Лист5!E7&gt;0,1,0)</f>
        <v>0</v>
      </c>
      <c r="F7">
        <f>IF(Лист5!F7&gt;0,1,0)</f>
        <v>0</v>
      </c>
      <c r="G7">
        <f>IF(Лист5!G7&gt;0,1,0)</f>
        <v>0</v>
      </c>
      <c r="H7">
        <f>IF(Лист5!H7&gt;0,1,0)</f>
        <v>0</v>
      </c>
      <c r="I7">
        <f>IF(Лист5!I7&gt;0,1,0)</f>
        <v>1</v>
      </c>
      <c r="J7">
        <f>IF(Лист5!J7&gt;0,1,0)</f>
        <v>0</v>
      </c>
      <c r="K7">
        <f>IF(Лист5!K7&gt;0,1,0)</f>
        <v>0</v>
      </c>
      <c r="L7">
        <f>IF(Лист5!L7&gt;0,1,0)</f>
        <v>0</v>
      </c>
      <c r="M7">
        <f>IF(Лист5!M7&gt;0,1,0)</f>
        <v>0</v>
      </c>
      <c r="N7">
        <f>IF(Лист5!N7&gt;0,1,0)</f>
        <v>0</v>
      </c>
      <c r="O7">
        <f>IF(Лист5!O7&gt;0,1,0)</f>
        <v>0</v>
      </c>
      <c r="P7">
        <f>IF(Лист5!P7&gt;0,1,0)</f>
        <v>0</v>
      </c>
    </row>
    <row r="8" spans="1:16" x14ac:dyDescent="0.35">
      <c r="A8" t="str">
        <f>Лист5!A8</f>
        <v>p1 11</v>
      </c>
      <c r="B8">
        <f>IF(Лист5!B8&gt;0,1,0)</f>
        <v>0</v>
      </c>
      <c r="C8">
        <f>IF(Лист5!C8&gt;0,1,0)</f>
        <v>1</v>
      </c>
      <c r="D8">
        <f>IF(Лист5!D8&gt;0,1,0)</f>
        <v>0</v>
      </c>
      <c r="E8">
        <f>IF(Лист5!E8&gt;0,1,0)</f>
        <v>0</v>
      </c>
      <c r="F8">
        <f>IF(Лист5!F8&gt;0,1,0)</f>
        <v>0</v>
      </c>
      <c r="G8">
        <f>IF(Лист5!G8&gt;0,1,0)</f>
        <v>0</v>
      </c>
      <c r="H8">
        <f>IF(Лист5!H8&gt;0,1,0)</f>
        <v>0</v>
      </c>
      <c r="I8">
        <f>IF(Лист5!I8&gt;0,1,0)</f>
        <v>0</v>
      </c>
      <c r="J8">
        <f>IF(Лист5!J8&gt;0,1,0)</f>
        <v>0</v>
      </c>
      <c r="K8">
        <f>IF(Лист5!K8&gt;0,1,0)</f>
        <v>0</v>
      </c>
      <c r="L8">
        <f>IF(Лист5!L8&gt;0,1,0)</f>
        <v>0</v>
      </c>
      <c r="M8">
        <f>IF(Лист5!M8&gt;0,1,0)</f>
        <v>0</v>
      </c>
      <c r="N8">
        <f>IF(Лист5!N8&gt;0,1,0)</f>
        <v>0</v>
      </c>
      <c r="O8">
        <f>IF(Лист5!O8&gt;0,1,0)</f>
        <v>0</v>
      </c>
      <c r="P8">
        <f>IF(Лист5!P8&gt;0,1,0)</f>
        <v>0</v>
      </c>
    </row>
    <row r="9" spans="1:16" x14ac:dyDescent="0.35">
      <c r="A9" t="str">
        <f>Лист5!A9</f>
        <v>p2 11</v>
      </c>
      <c r="B9">
        <f>IF(Лист5!B9&gt;0,1,0)</f>
        <v>1</v>
      </c>
      <c r="C9">
        <f>IF(Лист5!C9&gt;0,1,0)</f>
        <v>0</v>
      </c>
      <c r="D9">
        <f>IF(Лист5!D9&gt;0,1,0)</f>
        <v>1</v>
      </c>
      <c r="E9">
        <f>IF(Лист5!E9&gt;0,1,0)</f>
        <v>1</v>
      </c>
      <c r="F9">
        <f>IF(Лист5!F9&gt;0,1,0)</f>
        <v>1</v>
      </c>
      <c r="G9">
        <f>IF(Лист5!G9&gt;0,1,0)</f>
        <v>1</v>
      </c>
      <c r="H9">
        <f>IF(Лист5!H9&gt;0,1,0)</f>
        <v>0</v>
      </c>
      <c r="I9">
        <f>IF(Лист5!I9&gt;0,1,0)</f>
        <v>0</v>
      </c>
      <c r="J9">
        <f>IF(Лист5!J9&gt;0,1,0)</f>
        <v>0</v>
      </c>
      <c r="K9">
        <f>IF(Лист5!K9&gt;0,1,0)</f>
        <v>0</v>
      </c>
      <c r="L9">
        <f>IF(Лист5!L9&gt;0,1,0)</f>
        <v>0</v>
      </c>
      <c r="M9">
        <f>IF(Лист5!M9&gt;0,1,0)</f>
        <v>0</v>
      </c>
      <c r="N9">
        <f>IF(Лист5!N9&gt;0,1,0)</f>
        <v>0</v>
      </c>
      <c r="O9">
        <f>IF(Лист5!O9&gt;0,1,0)</f>
        <v>0</v>
      </c>
      <c r="P9">
        <f>IF(Лист5!P9&gt;0,1,0)</f>
        <v>0</v>
      </c>
    </row>
    <row r="10" spans="1:16" x14ac:dyDescent="0.35">
      <c r="A10" t="str">
        <f>Лист5!A10</f>
        <v>p2 10</v>
      </c>
      <c r="B10">
        <f>IF(Лист5!B10&gt;0,1,0)</f>
        <v>1</v>
      </c>
      <c r="C10">
        <f>IF(Лист5!C10&gt;0,1,0)</f>
        <v>0</v>
      </c>
      <c r="D10">
        <f>IF(Лист5!D10&gt;0,1,0)</f>
        <v>1</v>
      </c>
      <c r="E10">
        <f>IF(Лист5!E10&gt;0,1,0)</f>
        <v>1</v>
      </c>
      <c r="F10">
        <f>IF(Лист5!F10&gt;0,1,0)</f>
        <v>1</v>
      </c>
      <c r="G10">
        <f>IF(Лист5!G10&gt;0,1,0)</f>
        <v>0</v>
      </c>
      <c r="H10">
        <f>IF(Лист5!H10&gt;0,1,0)</f>
        <v>0</v>
      </c>
      <c r="I10">
        <f>IF(Лист5!I10&gt;0,1,0)</f>
        <v>0</v>
      </c>
      <c r="J10">
        <f>IF(Лист5!J10&gt;0,1,0)</f>
        <v>0</v>
      </c>
      <c r="K10">
        <f>IF(Лист5!K10&gt;0,1,0)</f>
        <v>0</v>
      </c>
      <c r="L10">
        <f>IF(Лист5!L10&gt;0,1,0)</f>
        <v>0</v>
      </c>
      <c r="M10">
        <f>IF(Лист5!M10&gt;0,1,0)</f>
        <v>0</v>
      </c>
      <c r="N10">
        <f>IF(Лист5!N10&gt;0,1,0)</f>
        <v>0</v>
      </c>
      <c r="O10">
        <f>IF(Лист5!O10&gt;0,1,0)</f>
        <v>0</v>
      </c>
      <c r="P10">
        <f>IF(Лист5!P10&gt;0,1,0)</f>
        <v>0</v>
      </c>
    </row>
    <row r="11" spans="1:16" x14ac:dyDescent="0.35">
      <c r="A11" t="str">
        <f>Лист5!A11</f>
        <v>p2 9</v>
      </c>
      <c r="B11">
        <f>IF(Лист5!B11&gt;0,1,0)</f>
        <v>1</v>
      </c>
      <c r="C11">
        <f>IF(Лист5!C11&gt;0,1,0)</f>
        <v>0</v>
      </c>
      <c r="D11">
        <f>IF(Лист5!D11&gt;0,1,0)</f>
        <v>1</v>
      </c>
      <c r="E11">
        <f>IF(Лист5!E11&gt;0,1,0)</f>
        <v>1</v>
      </c>
      <c r="F11">
        <f>IF(Лист5!F11&gt;0,1,0)</f>
        <v>0</v>
      </c>
      <c r="G11">
        <f>IF(Лист5!G11&gt;0,1,0)</f>
        <v>0</v>
      </c>
      <c r="H11">
        <f>IF(Лист5!H11&gt;0,1,0)</f>
        <v>0</v>
      </c>
      <c r="I11">
        <f>IF(Лист5!I11&gt;0,1,0)</f>
        <v>0</v>
      </c>
      <c r="J11">
        <f>IF(Лист5!J11&gt;0,1,0)</f>
        <v>0</v>
      </c>
      <c r="K11">
        <f>IF(Лист5!K11&gt;0,1,0)</f>
        <v>0</v>
      </c>
      <c r="L11">
        <f>IF(Лист5!L11&gt;0,1,0)</f>
        <v>0</v>
      </c>
      <c r="M11">
        <f>IF(Лист5!M11&gt;0,1,0)</f>
        <v>0</v>
      </c>
      <c r="N11">
        <f>IF(Лист5!N11&gt;0,1,0)</f>
        <v>0</v>
      </c>
      <c r="O11">
        <f>IF(Лист5!O11&gt;0,1,0)</f>
        <v>1</v>
      </c>
      <c r="P11">
        <f>IF(Лист5!P11&gt;0,1,0)</f>
        <v>0</v>
      </c>
    </row>
    <row r="12" spans="1:16" x14ac:dyDescent="0.35">
      <c r="A12" t="str">
        <f>Лист5!A12</f>
        <v>p2 8</v>
      </c>
      <c r="B12">
        <f>IF(Лист5!B12&gt;0,1,0)</f>
        <v>1</v>
      </c>
      <c r="C12">
        <f>IF(Лист5!C12&gt;0,1,0)</f>
        <v>0</v>
      </c>
      <c r="D12">
        <f>IF(Лист5!D12&gt;0,1,0)</f>
        <v>1</v>
      </c>
      <c r="E12">
        <f>IF(Лист5!E12&gt;0,1,0)</f>
        <v>1</v>
      </c>
      <c r="F12">
        <f>IF(Лист5!F12&gt;0,1,0)</f>
        <v>0</v>
      </c>
      <c r="G12">
        <f>IF(Лист5!G12&gt;0,1,0)</f>
        <v>0</v>
      </c>
      <c r="H12">
        <f>IF(Лист5!H12&gt;0,1,0)</f>
        <v>0</v>
      </c>
      <c r="I12">
        <f>IF(Лист5!I12&gt;0,1,0)</f>
        <v>0</v>
      </c>
      <c r="J12">
        <f>IF(Лист5!J12&gt;0,1,0)</f>
        <v>0</v>
      </c>
      <c r="K12">
        <f>IF(Лист5!K12&gt;0,1,0)</f>
        <v>0</v>
      </c>
      <c r="L12">
        <f>IF(Лист5!L12&gt;0,1,0)</f>
        <v>0</v>
      </c>
      <c r="M12">
        <f>IF(Лист5!M12&gt;0,1,0)</f>
        <v>0</v>
      </c>
      <c r="N12">
        <f>IF(Лист5!N12&gt;0,1,0)</f>
        <v>0</v>
      </c>
      <c r="O12">
        <f>IF(Лист5!O12&gt;0,1,0)</f>
        <v>1</v>
      </c>
      <c r="P12">
        <f>IF(Лист5!P12&gt;0,1,0)</f>
        <v>0</v>
      </c>
    </row>
    <row r="13" spans="1:16" x14ac:dyDescent="0.35">
      <c r="A13" t="str">
        <f>Лист5!A13</f>
        <v>p2 6</v>
      </c>
      <c r="B13">
        <f>IF(Лист5!B13&gt;0,1,0)</f>
        <v>1</v>
      </c>
      <c r="C13">
        <f>IF(Лист5!C13&gt;0,1,0)</f>
        <v>0</v>
      </c>
      <c r="D13">
        <f>IF(Лист5!D13&gt;0,1,0)</f>
        <v>1</v>
      </c>
      <c r="E13">
        <f>IF(Лист5!E13&gt;0,1,0)</f>
        <v>0</v>
      </c>
      <c r="F13">
        <f>IF(Лист5!F13&gt;0,1,0)</f>
        <v>0</v>
      </c>
      <c r="G13">
        <f>IF(Лист5!G13&gt;0,1,0)</f>
        <v>0</v>
      </c>
      <c r="H13">
        <f>IF(Лист5!H13&gt;0,1,0)</f>
        <v>0</v>
      </c>
      <c r="I13">
        <f>IF(Лист5!I13&gt;0,1,0)</f>
        <v>0</v>
      </c>
      <c r="J13">
        <f>IF(Лист5!J13&gt;0,1,0)</f>
        <v>0</v>
      </c>
      <c r="K13">
        <f>IF(Лист5!K13&gt;0,1,0)</f>
        <v>0</v>
      </c>
      <c r="L13">
        <f>IF(Лист5!L13&gt;0,1,0)</f>
        <v>0</v>
      </c>
      <c r="M13">
        <f>IF(Лист5!M13&gt;0,1,0)</f>
        <v>0</v>
      </c>
      <c r="N13">
        <f>IF(Лист5!N13&gt;0,1,0)</f>
        <v>0</v>
      </c>
      <c r="O13">
        <f>IF(Лист5!O13&gt;0,1,0)</f>
        <v>1</v>
      </c>
      <c r="P13">
        <f>IF(Лист5!P13&gt;0,1,0)</f>
        <v>1</v>
      </c>
    </row>
    <row r="14" spans="1:16" x14ac:dyDescent="0.35">
      <c r="A14" t="str">
        <f>Лист5!A14</f>
        <v>p2 5</v>
      </c>
      <c r="B14">
        <f>IF(Лист5!B14&gt;0,1,0)</f>
        <v>1</v>
      </c>
      <c r="C14">
        <f>IF(Лист5!C14&gt;0,1,0)</f>
        <v>0</v>
      </c>
      <c r="D14">
        <f>IF(Лист5!D14&gt;0,1,0)</f>
        <v>0</v>
      </c>
      <c r="E14">
        <f>IF(Лист5!E14&gt;0,1,0)</f>
        <v>0</v>
      </c>
      <c r="F14">
        <f>IF(Лист5!F14&gt;0,1,0)</f>
        <v>0</v>
      </c>
      <c r="G14">
        <f>IF(Лист5!G14&gt;0,1,0)</f>
        <v>0</v>
      </c>
      <c r="H14">
        <f>IF(Лист5!H14&gt;0,1,0)</f>
        <v>0</v>
      </c>
      <c r="I14">
        <f>IF(Лист5!I14&gt;0,1,0)</f>
        <v>0</v>
      </c>
      <c r="J14">
        <f>IF(Лист5!J14&gt;0,1,0)</f>
        <v>0</v>
      </c>
      <c r="K14">
        <f>IF(Лист5!K14&gt;0,1,0)</f>
        <v>0</v>
      </c>
      <c r="L14">
        <f>IF(Лист5!L14&gt;0,1,0)</f>
        <v>0</v>
      </c>
      <c r="M14">
        <f>IF(Лист5!M14&gt;0,1,0)</f>
        <v>0</v>
      </c>
      <c r="N14">
        <f>IF(Лист5!N14&gt;0,1,0)</f>
        <v>0</v>
      </c>
      <c r="O14">
        <f>IF(Лист5!O14&gt;0,1,0)</f>
        <v>1</v>
      </c>
      <c r="P14">
        <f>IF(Лист5!P14&gt;0,1,0)</f>
        <v>1</v>
      </c>
    </row>
    <row r="15" spans="1:16" x14ac:dyDescent="0.35">
      <c r="A15" t="str">
        <f>Лист5!A15</f>
        <v>p3 10</v>
      </c>
      <c r="B15">
        <f>IF(Лист5!B15&gt;0,1,0)</f>
        <v>1</v>
      </c>
      <c r="C15">
        <f>IF(Лист5!C15&gt;0,1,0)</f>
        <v>0</v>
      </c>
      <c r="D15">
        <f>IF(Лист5!D15&gt;0,1,0)</f>
        <v>1</v>
      </c>
      <c r="E15">
        <f>IF(Лист5!E15&gt;0,1,0)</f>
        <v>1</v>
      </c>
      <c r="F15">
        <f>IF(Лист5!F15&gt;0,1,0)</f>
        <v>1</v>
      </c>
      <c r="G15">
        <f>IF(Лист5!G15&gt;0,1,0)</f>
        <v>0</v>
      </c>
      <c r="H15">
        <f>IF(Лист5!H15&gt;0,1,0)</f>
        <v>0</v>
      </c>
      <c r="I15">
        <f>IF(Лист5!I15&gt;0,1,0)</f>
        <v>0</v>
      </c>
      <c r="J15">
        <f>IF(Лист5!J15&gt;0,1,0)</f>
        <v>0</v>
      </c>
      <c r="K15">
        <f>IF(Лист5!K15&gt;0,1,0)</f>
        <v>1</v>
      </c>
      <c r="L15">
        <f>IF(Лист5!L15&gt;0,1,0)</f>
        <v>1</v>
      </c>
      <c r="M15">
        <f>IF(Лист5!M15&gt;0,1,0)</f>
        <v>1</v>
      </c>
      <c r="N15">
        <f>IF(Лист5!N15&gt;0,1,0)</f>
        <v>1</v>
      </c>
      <c r="O15">
        <f>IF(Лист5!O15&gt;0,1,0)</f>
        <v>0</v>
      </c>
      <c r="P15">
        <f>IF(Лист5!P15&gt;0,1,0)</f>
        <v>0</v>
      </c>
    </row>
    <row r="16" spans="1:16" x14ac:dyDescent="0.35">
      <c r="A16" t="str">
        <f>Лист5!A16</f>
        <v>p3 7</v>
      </c>
      <c r="B16">
        <f>IF(Лист5!B16&gt;0,1,0)</f>
        <v>1</v>
      </c>
      <c r="C16">
        <f>IF(Лист5!C16&gt;0,1,0)</f>
        <v>0</v>
      </c>
      <c r="D16">
        <f>IF(Лист5!D16&gt;0,1,0)</f>
        <v>1</v>
      </c>
      <c r="E16">
        <f>IF(Лист5!E16&gt;0,1,0)</f>
        <v>1</v>
      </c>
      <c r="F16">
        <f>IF(Лист5!F16&gt;0,1,0)</f>
        <v>0</v>
      </c>
      <c r="G16">
        <f>IF(Лист5!G16&gt;0,1,0)</f>
        <v>0</v>
      </c>
      <c r="H16">
        <f>IF(Лист5!H16&gt;0,1,0)</f>
        <v>0</v>
      </c>
      <c r="I16">
        <f>IF(Лист5!I16&gt;0,1,0)</f>
        <v>0</v>
      </c>
      <c r="J16">
        <f>IF(Лист5!J16&gt;0,1,0)</f>
        <v>0</v>
      </c>
      <c r="K16">
        <f>IF(Лист5!K16&gt;0,1,0)</f>
        <v>0</v>
      </c>
      <c r="L16">
        <f>IF(Лист5!L16&gt;0,1,0)</f>
        <v>0</v>
      </c>
      <c r="M16">
        <f>IF(Лист5!M16&gt;0,1,0)</f>
        <v>1</v>
      </c>
      <c r="N16">
        <f>IF(Лист5!N16&gt;0,1,0)</f>
        <v>1</v>
      </c>
      <c r="O16">
        <f>IF(Лист5!O16&gt;0,1,0)</f>
        <v>0</v>
      </c>
      <c r="P16">
        <f>IF(Лист5!P16&gt;0,1,0)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58A2-8F72-4E44-800F-8BF0DA58E71F}">
  <dimension ref="A1:S17"/>
  <sheetViews>
    <sheetView workbookViewId="0">
      <selection activeCell="P9" sqref="P9"/>
    </sheetView>
  </sheetViews>
  <sheetFormatPr defaultRowHeight="14.5" x14ac:dyDescent="0.35"/>
  <cols>
    <col min="1" max="15" width="3.6328125" customWidth="1"/>
  </cols>
  <sheetData>
    <row r="1" spans="1:19" x14ac:dyDescent="0.35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</row>
    <row r="2" spans="1:19" x14ac:dyDescent="0.35">
      <c r="A2" s="3">
        <v>1</v>
      </c>
      <c r="B2">
        <v>0</v>
      </c>
      <c r="C2">
        <v>13</v>
      </c>
      <c r="D2">
        <v>12</v>
      </c>
      <c r="E2">
        <v>11</v>
      </c>
      <c r="F2">
        <v>7</v>
      </c>
      <c r="G2">
        <v>8</v>
      </c>
      <c r="H2">
        <v>10</v>
      </c>
      <c r="I2">
        <v>9</v>
      </c>
      <c r="J2">
        <v>11</v>
      </c>
      <c r="K2">
        <v>10</v>
      </c>
      <c r="L2">
        <v>9</v>
      </c>
      <c r="M2">
        <v>12</v>
      </c>
      <c r="N2">
        <v>11</v>
      </c>
      <c r="O2">
        <v>10</v>
      </c>
      <c r="Q2">
        <f>SUM(B2:O2)</f>
        <v>133</v>
      </c>
    </row>
    <row r="3" spans="1:19" x14ac:dyDescent="0.35">
      <c r="A3" s="3">
        <v>2</v>
      </c>
      <c r="B3">
        <v>13</v>
      </c>
      <c r="C3">
        <v>0</v>
      </c>
      <c r="D3">
        <v>8</v>
      </c>
      <c r="E3">
        <v>9</v>
      </c>
      <c r="F3">
        <v>12</v>
      </c>
      <c r="G3">
        <v>11</v>
      </c>
      <c r="H3">
        <v>10</v>
      </c>
      <c r="I3">
        <v>11</v>
      </c>
      <c r="J3">
        <v>9</v>
      </c>
      <c r="K3">
        <v>10</v>
      </c>
      <c r="L3">
        <v>11</v>
      </c>
      <c r="M3">
        <v>8</v>
      </c>
      <c r="N3">
        <v>9</v>
      </c>
      <c r="O3">
        <v>10</v>
      </c>
      <c r="Q3">
        <f t="shared" ref="Q3:Q15" si="0">SUM(B3:O3)</f>
        <v>131</v>
      </c>
    </row>
    <row r="4" spans="1:19" x14ac:dyDescent="0.35">
      <c r="A4" s="3">
        <v>3</v>
      </c>
      <c r="B4">
        <v>12</v>
      </c>
      <c r="C4">
        <v>8</v>
      </c>
      <c r="D4">
        <v>0</v>
      </c>
      <c r="E4">
        <v>7</v>
      </c>
      <c r="F4">
        <v>12</v>
      </c>
      <c r="G4">
        <v>12</v>
      </c>
      <c r="H4">
        <v>11</v>
      </c>
      <c r="I4">
        <v>9</v>
      </c>
      <c r="J4">
        <v>10</v>
      </c>
      <c r="K4">
        <v>8</v>
      </c>
      <c r="L4">
        <v>9</v>
      </c>
      <c r="M4">
        <v>9</v>
      </c>
      <c r="N4">
        <v>7</v>
      </c>
      <c r="O4">
        <v>8</v>
      </c>
      <c r="Q4">
        <f t="shared" si="0"/>
        <v>122</v>
      </c>
      <c r="S4">
        <f>MAX(B2:O15)</f>
        <v>13</v>
      </c>
    </row>
    <row r="5" spans="1:19" x14ac:dyDescent="0.35">
      <c r="A5" s="3">
        <v>4</v>
      </c>
      <c r="B5">
        <v>11</v>
      </c>
      <c r="C5">
        <v>9</v>
      </c>
      <c r="D5">
        <v>7</v>
      </c>
      <c r="E5">
        <v>0</v>
      </c>
      <c r="F5">
        <v>11</v>
      </c>
      <c r="G5">
        <v>11</v>
      </c>
      <c r="H5">
        <v>12</v>
      </c>
      <c r="I5">
        <v>10</v>
      </c>
      <c r="J5">
        <v>11</v>
      </c>
      <c r="K5">
        <v>9</v>
      </c>
      <c r="L5">
        <v>7</v>
      </c>
      <c r="M5">
        <v>10</v>
      </c>
      <c r="N5">
        <v>8</v>
      </c>
      <c r="O5">
        <v>6</v>
      </c>
      <c r="Q5">
        <f t="shared" si="0"/>
        <v>122</v>
      </c>
    </row>
    <row r="6" spans="1:19" x14ac:dyDescent="0.35">
      <c r="A6" s="3">
        <v>5</v>
      </c>
      <c r="B6">
        <v>7</v>
      </c>
      <c r="C6">
        <v>12</v>
      </c>
      <c r="D6">
        <v>12</v>
      </c>
      <c r="E6">
        <v>11</v>
      </c>
      <c r="F6">
        <v>0</v>
      </c>
      <c r="G6">
        <v>7</v>
      </c>
      <c r="H6">
        <v>9</v>
      </c>
      <c r="I6">
        <v>9</v>
      </c>
      <c r="J6">
        <v>10</v>
      </c>
      <c r="K6">
        <v>10</v>
      </c>
      <c r="L6">
        <v>9</v>
      </c>
      <c r="M6">
        <v>11</v>
      </c>
      <c r="N6">
        <v>11</v>
      </c>
      <c r="O6">
        <v>10</v>
      </c>
      <c r="Q6">
        <f t="shared" si="0"/>
        <v>128</v>
      </c>
    </row>
    <row r="7" spans="1:19" x14ac:dyDescent="0.35">
      <c r="A7" s="3">
        <v>6</v>
      </c>
      <c r="B7">
        <v>8</v>
      </c>
      <c r="C7">
        <v>11</v>
      </c>
      <c r="D7">
        <v>12</v>
      </c>
      <c r="E7">
        <v>11</v>
      </c>
      <c r="F7">
        <v>7</v>
      </c>
      <c r="G7">
        <v>0</v>
      </c>
      <c r="H7">
        <v>8</v>
      </c>
      <c r="I7">
        <v>9</v>
      </c>
      <c r="J7">
        <v>9</v>
      </c>
      <c r="K7">
        <v>10</v>
      </c>
      <c r="L7">
        <v>9</v>
      </c>
      <c r="M7">
        <v>10</v>
      </c>
      <c r="N7">
        <v>11</v>
      </c>
      <c r="O7">
        <v>10</v>
      </c>
      <c r="Q7">
        <f t="shared" si="0"/>
        <v>125</v>
      </c>
    </row>
    <row r="8" spans="1:19" x14ac:dyDescent="0.35">
      <c r="A8" s="3">
        <v>7</v>
      </c>
      <c r="B8">
        <v>10</v>
      </c>
      <c r="C8">
        <v>10</v>
      </c>
      <c r="D8">
        <v>11</v>
      </c>
      <c r="E8">
        <v>12</v>
      </c>
      <c r="F8">
        <v>9</v>
      </c>
      <c r="G8">
        <v>8</v>
      </c>
      <c r="H8">
        <v>0</v>
      </c>
      <c r="I8">
        <v>8</v>
      </c>
      <c r="J8">
        <v>8</v>
      </c>
      <c r="K8">
        <v>9</v>
      </c>
      <c r="L8">
        <v>10</v>
      </c>
      <c r="M8">
        <v>9</v>
      </c>
      <c r="N8">
        <v>10</v>
      </c>
      <c r="O8">
        <v>11</v>
      </c>
      <c r="Q8">
        <f t="shared" si="0"/>
        <v>125</v>
      </c>
    </row>
    <row r="9" spans="1:19" x14ac:dyDescent="0.35">
      <c r="A9" s="3">
        <v>8</v>
      </c>
      <c r="B9">
        <v>9</v>
      </c>
      <c r="C9">
        <v>11</v>
      </c>
      <c r="D9">
        <v>9</v>
      </c>
      <c r="E9">
        <v>10</v>
      </c>
      <c r="F9">
        <v>9</v>
      </c>
      <c r="G9">
        <v>9</v>
      </c>
      <c r="H9">
        <v>8</v>
      </c>
      <c r="I9">
        <v>0</v>
      </c>
      <c r="J9">
        <v>9</v>
      </c>
      <c r="K9">
        <v>7</v>
      </c>
      <c r="L9">
        <v>8</v>
      </c>
      <c r="M9">
        <v>10</v>
      </c>
      <c r="N9">
        <v>8</v>
      </c>
      <c r="O9">
        <v>9</v>
      </c>
      <c r="Q9">
        <f t="shared" si="0"/>
        <v>116</v>
      </c>
    </row>
    <row r="10" spans="1:19" x14ac:dyDescent="0.35">
      <c r="A10" s="3">
        <v>9</v>
      </c>
      <c r="B10">
        <v>11</v>
      </c>
      <c r="C10">
        <v>9</v>
      </c>
      <c r="D10">
        <v>10</v>
      </c>
      <c r="E10">
        <v>11</v>
      </c>
      <c r="F10">
        <v>10</v>
      </c>
      <c r="G10">
        <v>9</v>
      </c>
      <c r="H10">
        <v>8</v>
      </c>
      <c r="I10">
        <v>9</v>
      </c>
      <c r="J10">
        <v>0</v>
      </c>
      <c r="K10">
        <v>8</v>
      </c>
      <c r="L10">
        <v>9</v>
      </c>
      <c r="M10">
        <v>8</v>
      </c>
      <c r="N10">
        <v>9</v>
      </c>
      <c r="O10">
        <v>10</v>
      </c>
      <c r="Q10">
        <f t="shared" si="0"/>
        <v>121</v>
      </c>
    </row>
    <row r="11" spans="1:19" x14ac:dyDescent="0.35">
      <c r="A11" s="3">
        <v>10</v>
      </c>
      <c r="B11">
        <v>10</v>
      </c>
      <c r="C11">
        <v>10</v>
      </c>
      <c r="D11">
        <v>8</v>
      </c>
      <c r="E11">
        <v>9</v>
      </c>
      <c r="F11">
        <v>10</v>
      </c>
      <c r="G11">
        <v>10</v>
      </c>
      <c r="H11">
        <v>9</v>
      </c>
      <c r="I11">
        <v>7</v>
      </c>
      <c r="J11">
        <v>8</v>
      </c>
      <c r="K11">
        <v>0</v>
      </c>
      <c r="L11">
        <v>7</v>
      </c>
      <c r="M11">
        <v>9</v>
      </c>
      <c r="N11">
        <v>7</v>
      </c>
      <c r="O11">
        <v>8</v>
      </c>
      <c r="Q11">
        <f t="shared" si="0"/>
        <v>112</v>
      </c>
    </row>
    <row r="12" spans="1:19" x14ac:dyDescent="0.35">
      <c r="A12" s="3">
        <v>11</v>
      </c>
      <c r="B12">
        <v>9</v>
      </c>
      <c r="C12">
        <v>11</v>
      </c>
      <c r="D12">
        <v>9</v>
      </c>
      <c r="E12">
        <v>7</v>
      </c>
      <c r="F12">
        <v>9</v>
      </c>
      <c r="G12">
        <v>9</v>
      </c>
      <c r="H12">
        <v>10</v>
      </c>
      <c r="I12">
        <v>8</v>
      </c>
      <c r="J12">
        <v>9</v>
      </c>
      <c r="K12">
        <v>7</v>
      </c>
      <c r="L12">
        <v>0</v>
      </c>
      <c r="M12">
        <v>10</v>
      </c>
      <c r="N12">
        <v>8</v>
      </c>
      <c r="O12">
        <v>6</v>
      </c>
      <c r="Q12">
        <f t="shared" si="0"/>
        <v>112</v>
      </c>
    </row>
    <row r="13" spans="1:19" x14ac:dyDescent="0.35">
      <c r="A13" s="3">
        <v>12</v>
      </c>
      <c r="B13">
        <v>12</v>
      </c>
      <c r="C13">
        <v>8</v>
      </c>
      <c r="D13">
        <v>9</v>
      </c>
      <c r="E13">
        <v>10</v>
      </c>
      <c r="F13">
        <v>11</v>
      </c>
      <c r="G13">
        <v>10</v>
      </c>
      <c r="H13">
        <v>9</v>
      </c>
      <c r="I13">
        <v>10</v>
      </c>
      <c r="J13">
        <v>8</v>
      </c>
      <c r="K13">
        <v>9</v>
      </c>
      <c r="L13">
        <v>10</v>
      </c>
      <c r="M13">
        <v>0</v>
      </c>
      <c r="N13">
        <v>8</v>
      </c>
      <c r="O13">
        <v>9</v>
      </c>
      <c r="Q13">
        <f t="shared" si="0"/>
        <v>123</v>
      </c>
    </row>
    <row r="14" spans="1:19" x14ac:dyDescent="0.35">
      <c r="A14" s="3">
        <v>13</v>
      </c>
      <c r="B14">
        <v>11</v>
      </c>
      <c r="C14">
        <v>9</v>
      </c>
      <c r="D14">
        <v>7</v>
      </c>
      <c r="E14">
        <v>8</v>
      </c>
      <c r="F14">
        <v>11</v>
      </c>
      <c r="G14">
        <v>11</v>
      </c>
      <c r="H14">
        <v>10</v>
      </c>
      <c r="I14">
        <v>8</v>
      </c>
      <c r="J14">
        <v>9</v>
      </c>
      <c r="K14">
        <v>7</v>
      </c>
      <c r="L14">
        <v>8</v>
      </c>
      <c r="M14">
        <v>8</v>
      </c>
      <c r="N14">
        <v>0</v>
      </c>
      <c r="O14">
        <v>7</v>
      </c>
      <c r="Q14">
        <f t="shared" si="0"/>
        <v>114</v>
      </c>
    </row>
    <row r="15" spans="1:19" x14ac:dyDescent="0.35">
      <c r="A15" s="3">
        <v>14</v>
      </c>
      <c r="B15">
        <v>10</v>
      </c>
      <c r="C15">
        <v>10</v>
      </c>
      <c r="D15">
        <v>8</v>
      </c>
      <c r="E15">
        <v>6</v>
      </c>
      <c r="F15">
        <v>10</v>
      </c>
      <c r="G15">
        <v>10</v>
      </c>
      <c r="H15">
        <v>11</v>
      </c>
      <c r="I15">
        <v>9</v>
      </c>
      <c r="J15">
        <v>10</v>
      </c>
      <c r="K15">
        <v>8</v>
      </c>
      <c r="L15">
        <v>6</v>
      </c>
      <c r="M15">
        <v>9</v>
      </c>
      <c r="N15">
        <v>7</v>
      </c>
      <c r="O15">
        <v>0</v>
      </c>
      <c r="Q15">
        <f t="shared" si="0"/>
        <v>114</v>
      </c>
    </row>
    <row r="17" spans="2:18" x14ac:dyDescent="0.35">
      <c r="B17">
        <f>SUM(B2:B15)</f>
        <v>133</v>
      </c>
      <c r="C17">
        <f t="shared" ref="C17:O17" si="1">SUM(C2:C15)</f>
        <v>131</v>
      </c>
      <c r="D17">
        <f t="shared" si="1"/>
        <v>122</v>
      </c>
      <c r="E17">
        <f t="shared" si="1"/>
        <v>122</v>
      </c>
      <c r="F17">
        <f t="shared" si="1"/>
        <v>128</v>
      </c>
      <c r="G17">
        <f t="shared" si="1"/>
        <v>125</v>
      </c>
      <c r="H17">
        <f t="shared" si="1"/>
        <v>125</v>
      </c>
      <c r="I17">
        <f t="shared" si="1"/>
        <v>116</v>
      </c>
      <c r="J17">
        <f t="shared" si="1"/>
        <v>121</v>
      </c>
      <c r="K17">
        <f t="shared" si="1"/>
        <v>112</v>
      </c>
      <c r="L17">
        <f t="shared" si="1"/>
        <v>112</v>
      </c>
      <c r="M17">
        <f t="shared" si="1"/>
        <v>123</v>
      </c>
      <c r="N17">
        <f t="shared" si="1"/>
        <v>114</v>
      </c>
      <c r="O17">
        <f t="shared" si="1"/>
        <v>114</v>
      </c>
      <c r="Q17">
        <f>SUM(B17:O17)</f>
        <v>1698</v>
      </c>
      <c r="R17">
        <f>SUM(Q2:Q15)</f>
        <v>1698</v>
      </c>
    </row>
  </sheetData>
  <conditionalFormatting sqref="B2:O15">
    <cfRule type="cellIs" dxfId="0" priority="1" operator="greaterThan">
      <formula>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Лист1</vt:lpstr>
      <vt:lpstr>Лист4</vt:lpstr>
      <vt:lpstr>Лист2</vt:lpstr>
      <vt:lpstr>Лист3</vt:lpstr>
      <vt:lpstr>резерв</vt:lpstr>
      <vt:lpstr>Лист6</vt:lpstr>
      <vt:lpstr>Лист5</vt:lpstr>
      <vt:lpstr>Лист7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2015-06-05T18:19:34Z</dcterms:created>
  <dcterms:modified xsi:type="dcterms:W3CDTF">2022-06-21T15:09:01Z</dcterms:modified>
</cp:coreProperties>
</file>