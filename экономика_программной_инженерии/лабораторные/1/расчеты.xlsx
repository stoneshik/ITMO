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university\эпи\"/>
    </mc:Choice>
  </mc:AlternateContent>
  <xr:revisionPtr revIDLastSave="0" documentId="13_ncr:1_{B016D762-777B-4F57-A524-1A8DE87F7E13}" xr6:coauthVersionLast="47" xr6:coauthVersionMax="47" xr10:uidLastSave="{00000000-0000-0000-0000-000000000000}"/>
  <bookViews>
    <workbookView xWindow="9600" yWindow="0" windowWidth="9600" windowHeight="10200" firstSheet="3" activeTab="3" xr2:uid="{00000000-000D-0000-FFFF-FFFF00000000}"/>
  </bookViews>
  <sheets>
    <sheet name="наивный метод" sheetId="1" r:id="rId1"/>
    <sheet name="pert метод" sheetId="2" r:id="rId2"/>
    <sheet name="UCP проекта" sheetId="4" r:id="rId3"/>
    <sheet name="UCP курсовой" sheetId="3" r:id="rId4"/>
    <sheet name="pert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9" i="3" l="1"/>
  <c r="E4" i="3"/>
  <c r="E5" i="3"/>
  <c r="E3" i="3"/>
  <c r="F22" i="5"/>
  <c r="H20" i="5"/>
  <c r="H2" i="5"/>
  <c r="H3" i="5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7" i="5"/>
  <c r="H18" i="5"/>
  <c r="H19" i="5"/>
  <c r="H1" i="5"/>
  <c r="F20" i="5"/>
  <c r="G2" i="5"/>
  <c r="G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1" i="5"/>
  <c r="F2" i="5"/>
  <c r="F1" i="5"/>
  <c r="F3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38" i="4"/>
  <c r="F37" i="4"/>
  <c r="F36" i="4"/>
  <c r="F35" i="4"/>
  <c r="F34" i="4"/>
  <c r="F33" i="4"/>
  <c r="F32" i="4"/>
  <c r="F31" i="4"/>
  <c r="F27" i="4"/>
  <c r="F26" i="4"/>
  <c r="F25" i="4"/>
  <c r="F24" i="4"/>
  <c r="F23" i="4"/>
  <c r="F22" i="4"/>
  <c r="F21" i="4"/>
  <c r="F20" i="4"/>
  <c r="F19" i="4"/>
  <c r="F18" i="4"/>
  <c r="F17" i="4"/>
  <c r="F16" i="4"/>
  <c r="F15" i="4"/>
  <c r="E11" i="4"/>
  <c r="E10" i="4"/>
  <c r="E9" i="4"/>
  <c r="E5" i="4"/>
  <c r="E4" i="4"/>
  <c r="E3" i="4"/>
  <c r="F32" i="3"/>
  <c r="F33" i="3"/>
  <c r="F34" i="3"/>
  <c r="F35" i="3"/>
  <c r="F36" i="3"/>
  <c r="F37" i="3"/>
  <c r="F38" i="3"/>
  <c r="F31" i="3"/>
  <c r="F16" i="3"/>
  <c r="F17" i="3"/>
  <c r="F18" i="3"/>
  <c r="F19" i="3"/>
  <c r="F20" i="3"/>
  <c r="F21" i="3"/>
  <c r="F22" i="3"/>
  <c r="F23" i="3"/>
  <c r="F24" i="3"/>
  <c r="F25" i="3"/>
  <c r="F26" i="3"/>
  <c r="F27" i="3"/>
  <c r="F15" i="3"/>
  <c r="B13" i="3" s="1"/>
  <c r="D13" i="3" s="1"/>
  <c r="E10" i="3"/>
  <c r="E11" i="3"/>
  <c r="E9" i="3"/>
  <c r="J4" i="2"/>
  <c r="J3" i="2"/>
  <c r="J2" i="2"/>
  <c r="F14" i="2"/>
  <c r="G14" i="2"/>
  <c r="H14" i="2" s="1"/>
  <c r="F15" i="2"/>
  <c r="G15" i="2"/>
  <c r="H15" i="2" s="1"/>
  <c r="F16" i="2"/>
  <c r="G16" i="2"/>
  <c r="H16" i="2"/>
  <c r="F17" i="2"/>
  <c r="G17" i="2"/>
  <c r="H17" i="2"/>
  <c r="F18" i="2"/>
  <c r="G18" i="2"/>
  <c r="H18" i="2"/>
  <c r="F19" i="2"/>
  <c r="G19" i="2"/>
  <c r="H19" i="2" s="1"/>
  <c r="D10" i="1"/>
  <c r="D24" i="1" s="1"/>
  <c r="E10" i="1"/>
  <c r="E24" i="1" s="1"/>
  <c r="C10" i="1"/>
  <c r="C24" i="1" s="1"/>
  <c r="C16" i="1"/>
  <c r="D16" i="1"/>
  <c r="E16" i="1"/>
  <c r="C20" i="1"/>
  <c r="D20" i="1"/>
  <c r="E20" i="1"/>
  <c r="H3" i="2"/>
  <c r="H4" i="2"/>
  <c r="H5" i="2"/>
  <c r="H6" i="2"/>
  <c r="H7" i="2"/>
  <c r="H8" i="2"/>
  <c r="H9" i="2"/>
  <c r="H10" i="2"/>
  <c r="H11" i="2"/>
  <c r="H13" i="2"/>
  <c r="H2" i="2"/>
  <c r="G3" i="2"/>
  <c r="G4" i="2"/>
  <c r="G5" i="2"/>
  <c r="G6" i="2"/>
  <c r="G7" i="2"/>
  <c r="G8" i="2"/>
  <c r="G9" i="2"/>
  <c r="G10" i="2"/>
  <c r="G11" i="2"/>
  <c r="G12" i="2"/>
  <c r="H12" i="2" s="1"/>
  <c r="G13" i="2"/>
  <c r="G2" i="2"/>
  <c r="F3" i="2"/>
  <c r="F4" i="2"/>
  <c r="F5" i="2"/>
  <c r="F6" i="2"/>
  <c r="F7" i="2"/>
  <c r="F8" i="2"/>
  <c r="F9" i="2"/>
  <c r="F10" i="2"/>
  <c r="F11" i="2"/>
  <c r="F12" i="2"/>
  <c r="F13" i="2"/>
  <c r="F2" i="2"/>
  <c r="D5" i="1"/>
  <c r="E5" i="1"/>
  <c r="C5" i="1"/>
  <c r="D1" i="1"/>
  <c r="E1" i="1"/>
  <c r="C1" i="1"/>
  <c r="B29" i="3" l="1"/>
  <c r="B7" i="3"/>
  <c r="B1" i="3"/>
  <c r="B29" i="4"/>
  <c r="D29" i="4" s="1"/>
  <c r="B13" i="4"/>
  <c r="D13" i="4" s="1"/>
  <c r="B7" i="4"/>
  <c r="B1" i="4"/>
  <c r="C40" i="3" l="1"/>
  <c r="C44" i="3" s="1"/>
  <c r="C45" i="3" s="1"/>
  <c r="C40" i="4"/>
</calcChain>
</file>

<file path=xl/sharedStrings.xml><?xml version="1.0" encoding="utf-8"?>
<sst xmlns="http://schemas.openxmlformats.org/spreadsheetml/2006/main" count="255" uniqueCount="133">
  <si>
    <t>Подготовка</t>
  </si>
  <si>
    <t>Прототип сайта</t>
  </si>
  <si>
    <t>Выбор технологий</t>
  </si>
  <si>
    <t>Аренда хостинга</t>
  </si>
  <si>
    <t>Фронтенд</t>
  </si>
  <si>
    <t>Верстка статичных страниц сайта</t>
  </si>
  <si>
    <t>Верстка динамичных страниц сайта</t>
  </si>
  <si>
    <t>Создание страницы с первоапрельской игрой</t>
  </si>
  <si>
    <t>Создание подсервиса дополнительного образования</t>
  </si>
  <si>
    <t>Бэкенд</t>
  </si>
  <si>
    <t>Настройка и подключение БД</t>
  </si>
  <si>
    <t>Новости</t>
  </si>
  <si>
    <t>Сотрудники</t>
  </si>
  <si>
    <t>Рендеринг страниц</t>
  </si>
  <si>
    <t>Тестирование</t>
  </si>
  <si>
    <t>Модульное тестирование</t>
  </si>
  <si>
    <t>Интеграционное тестирование</t>
  </si>
  <si>
    <t>Функциональное тестирование</t>
  </si>
  <si>
    <t>Релиз</t>
  </si>
  <si>
    <t>SSL сертификат</t>
  </si>
  <si>
    <t>Развертывание сайта</t>
  </si>
  <si>
    <t>Настройка</t>
  </si>
  <si>
    <t>∑</t>
  </si>
  <si>
    <t>1</t>
  </si>
  <si>
    <t>1.1</t>
  </si>
  <si>
    <t>1.2</t>
  </si>
  <si>
    <t>1.3</t>
  </si>
  <si>
    <t>2</t>
  </si>
  <si>
    <t>2.1</t>
  </si>
  <si>
    <t>2.2</t>
  </si>
  <si>
    <t>2.3</t>
  </si>
  <si>
    <t>2.4</t>
  </si>
  <si>
    <t>3</t>
  </si>
  <si>
    <t>3.1</t>
  </si>
  <si>
    <t>3.2</t>
  </si>
  <si>
    <t>3.3</t>
  </si>
  <si>
    <t>3.4</t>
  </si>
  <si>
    <t>4</t>
  </si>
  <si>
    <t>4.1</t>
  </si>
  <si>
    <t>4.2</t>
  </si>
  <si>
    <t>4.3</t>
  </si>
  <si>
    <t>5</t>
  </si>
  <si>
    <t>5.1</t>
  </si>
  <si>
    <t>5.2</t>
  </si>
  <si>
    <t>5.3</t>
  </si>
  <si>
    <t>№</t>
  </si>
  <si>
    <t>Название</t>
  </si>
  <si>
    <t>Оптимистичная (чел. час)</t>
  </si>
  <si>
    <t>Пессимистичная (чел. час)</t>
  </si>
  <si>
    <t>Оптимальная (чел. час)</t>
  </si>
  <si>
    <t>Функционирование тестирование</t>
  </si>
  <si>
    <t>Ei</t>
  </si>
  <si>
    <t>СКО</t>
  </si>
  <si>
    <t>E</t>
  </si>
  <si>
    <t>СКО^2</t>
  </si>
  <si>
    <t>E_95%</t>
  </si>
  <si>
    <t>3.5</t>
  </si>
  <si>
    <t>Расписание занятий дополнительного образования</t>
  </si>
  <si>
    <t>Классификация</t>
  </si>
  <si>
    <t>Количество транзакций</t>
  </si>
  <si>
    <t>Вес</t>
  </si>
  <si>
    <t>Простые</t>
  </si>
  <si>
    <t>Средние</t>
  </si>
  <si>
    <t>Сложные</t>
  </si>
  <si>
    <t>Количество участников</t>
  </si>
  <si>
    <t>Простой</t>
  </si>
  <si>
    <t>Среднее</t>
  </si>
  <si>
    <t>Сложный</t>
  </si>
  <si>
    <t>UAW</t>
  </si>
  <si>
    <t>UUCW</t>
  </si>
  <si>
    <t>TF</t>
  </si>
  <si>
    <t>TCF</t>
  </si>
  <si>
    <t>Фактор</t>
  </si>
  <si>
    <t>Описание</t>
  </si>
  <si>
    <t>Сложность</t>
  </si>
  <si>
    <t>Т1</t>
  </si>
  <si>
    <t>Распределенная система</t>
  </si>
  <si>
    <t>Т2</t>
  </si>
  <si>
    <t>Время отклика/целевые показатели производительности</t>
  </si>
  <si>
    <t>Т3</t>
  </si>
  <si>
    <t>Эффективность для конечного пользователя</t>
  </si>
  <si>
    <t>Т4</t>
  </si>
  <si>
    <t>Сложность внутренней обработки</t>
  </si>
  <si>
    <t>Т5</t>
  </si>
  <si>
    <t>Повторное использование кода</t>
  </si>
  <si>
    <t>Т6</t>
  </si>
  <si>
    <t>Простота установки</t>
  </si>
  <si>
    <t>Т7</t>
  </si>
  <si>
    <t>Простота использования</t>
  </si>
  <si>
    <t>Т8</t>
  </si>
  <si>
    <t>Переносимость на другие платформы</t>
  </si>
  <si>
    <t>Т9</t>
  </si>
  <si>
    <t>Обслуживание системы</t>
  </si>
  <si>
    <t>Т10</t>
  </si>
  <si>
    <t>Параллельная обработка</t>
  </si>
  <si>
    <t>Т11</t>
  </si>
  <si>
    <t>Функции безопасности</t>
  </si>
  <si>
    <t>Т12</t>
  </si>
  <si>
    <t>Доступ для третьих лиц</t>
  </si>
  <si>
    <t>Т13</t>
  </si>
  <si>
    <t>Обучение конечных пользователей</t>
  </si>
  <si>
    <t>EF</t>
  </si>
  <si>
    <t>ECF</t>
  </si>
  <si>
    <t>Влияние</t>
  </si>
  <si>
    <t>Е1</t>
  </si>
  <si>
    <t>Знакомство с использованным процессом разработки</t>
  </si>
  <si>
    <t>Е2</t>
  </si>
  <si>
    <t>Опыт применения</t>
  </si>
  <si>
    <t>Е3</t>
  </si>
  <si>
    <t>Объектно-ориентированный опыт команды</t>
  </si>
  <si>
    <t>Е4</t>
  </si>
  <si>
    <t>Возможности ведущего аналитика</t>
  </si>
  <si>
    <t>Е5</t>
  </si>
  <si>
    <t>Мотивация команды</t>
  </si>
  <si>
    <t>Е6</t>
  </si>
  <si>
    <t>Стабильность требований</t>
  </si>
  <si>
    <t>Е7</t>
  </si>
  <si>
    <t>Персонал, занятый неполный рабочий день</t>
  </si>
  <si>
    <t>Е8</t>
  </si>
  <si>
    <t>Сложный язык программирования</t>
  </si>
  <si>
    <t>Точки варианта использования (UCP)</t>
  </si>
  <si>
    <t>Время разработки проекта в часах</t>
  </si>
  <si>
    <t>Фактор продуктивности</t>
  </si>
  <si>
    <t>Скорректированное UCP данного проекта</t>
  </si>
  <si>
    <t>Верстка статичной версии страниц сайта</t>
  </si>
  <si>
    <t>Написание функционала авторизации, регистрации пользователя</t>
  </si>
  <si>
    <t>Написание функционала выбора подписки и оплаты</t>
  </si>
  <si>
    <t>Написание функционала создания и выбора/загрузки файла</t>
  </si>
  <si>
    <t>Написание функционала редактирования фото</t>
  </si>
  <si>
    <t>Написание фильтров, которые можно применить к фото</t>
  </si>
  <si>
    <t>Написание функционала сохранения файлов</t>
  </si>
  <si>
    <t>Создание функционала авторизации, регистрации пользователей</t>
  </si>
  <si>
    <t>Создание функционала сохранения файлов, их изменения и выгрузки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</si>
</sst>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49" fontId="0" fillId="2" borderId="0" xfId="0" applyNumberFormat="1" applyFill="1"/>
    <xf numFmtId="0" fontId="0" fillId="2" borderId="0" xfId="0" applyFill="1"/>
    <xf numFmtId="16" fontId="0" fillId="0" borderId="0" xfId="0" applyNumberFormat="1"/>
    <xf numFmtId="2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"/>
  <sheetViews>
    <sheetView topLeftCell="A13" workbookViewId="0">
      <selection activeCell="F7" sqref="F7"/>
    </sheetView>
  </sheetViews>
  <sheetFormatPr defaultRowHeight="14.5" x14ac:dyDescent="0.35"/>
  <cols>
    <col min="1" max="1" width="6.36328125" customWidth="1"/>
    <col min="2" max="2" width="37.1796875" customWidth="1"/>
  </cols>
  <sheetData>
    <row r="1" spans="1:5" x14ac:dyDescent="0.35">
      <c r="A1" s="2" t="s">
        <v>23</v>
      </c>
      <c r="B1" s="3" t="s">
        <v>0</v>
      </c>
      <c r="C1" s="3">
        <f>SUM(C2:C4)</f>
        <v>10</v>
      </c>
      <c r="D1" s="3">
        <f t="shared" ref="D1:E1" si="0">SUM(D2:D4)</f>
        <v>15</v>
      </c>
      <c r="E1" s="3">
        <f t="shared" si="0"/>
        <v>12</v>
      </c>
    </row>
    <row r="2" spans="1:5" x14ac:dyDescent="0.35">
      <c r="A2" s="1" t="s">
        <v>24</v>
      </c>
      <c r="B2" t="s">
        <v>1</v>
      </c>
      <c r="C2">
        <v>8</v>
      </c>
      <c r="D2">
        <v>12</v>
      </c>
      <c r="E2">
        <v>10</v>
      </c>
    </row>
    <row r="3" spans="1:5" x14ac:dyDescent="0.35">
      <c r="A3" s="1" t="s">
        <v>25</v>
      </c>
      <c r="B3" t="s">
        <v>2</v>
      </c>
      <c r="C3">
        <v>1</v>
      </c>
      <c r="D3">
        <v>1</v>
      </c>
      <c r="E3">
        <v>1</v>
      </c>
    </row>
    <row r="4" spans="1:5" x14ac:dyDescent="0.35">
      <c r="A4" s="1" t="s">
        <v>26</v>
      </c>
      <c r="B4" t="s">
        <v>3</v>
      </c>
      <c r="C4">
        <v>1</v>
      </c>
      <c r="D4">
        <v>2</v>
      </c>
      <c r="E4">
        <v>1</v>
      </c>
    </row>
    <row r="5" spans="1:5" x14ac:dyDescent="0.35">
      <c r="A5" s="2" t="s">
        <v>27</v>
      </c>
      <c r="B5" s="3" t="s">
        <v>4</v>
      </c>
      <c r="C5" s="3">
        <f>SUM(C6:C9)</f>
        <v>60</v>
      </c>
      <c r="D5" s="3">
        <f t="shared" ref="D5:E5" si="1">SUM(D6:D9)</f>
        <v>95</v>
      </c>
      <c r="E5" s="3">
        <f t="shared" si="1"/>
        <v>77</v>
      </c>
    </row>
    <row r="6" spans="1:5" x14ac:dyDescent="0.35">
      <c r="A6" s="1" t="s">
        <v>28</v>
      </c>
      <c r="B6" t="s">
        <v>5</v>
      </c>
      <c r="C6">
        <v>20</v>
      </c>
      <c r="D6">
        <v>30</v>
      </c>
      <c r="E6">
        <v>25</v>
      </c>
    </row>
    <row r="7" spans="1:5" x14ac:dyDescent="0.35">
      <c r="A7" s="1" t="s">
        <v>29</v>
      </c>
      <c r="B7" t="s">
        <v>6</v>
      </c>
      <c r="C7">
        <v>25</v>
      </c>
      <c r="D7">
        <v>35</v>
      </c>
      <c r="E7">
        <v>30</v>
      </c>
    </row>
    <row r="8" spans="1:5" x14ac:dyDescent="0.35">
      <c r="A8" s="1" t="s">
        <v>30</v>
      </c>
      <c r="B8" t="s">
        <v>7</v>
      </c>
      <c r="C8">
        <v>5</v>
      </c>
      <c r="D8">
        <v>10</v>
      </c>
      <c r="E8">
        <v>7</v>
      </c>
    </row>
    <row r="9" spans="1:5" x14ac:dyDescent="0.35">
      <c r="A9" s="1" t="s">
        <v>31</v>
      </c>
      <c r="B9" t="s">
        <v>8</v>
      </c>
      <c r="C9">
        <v>10</v>
      </c>
      <c r="D9">
        <v>20</v>
      </c>
      <c r="E9">
        <v>15</v>
      </c>
    </row>
    <row r="10" spans="1:5" x14ac:dyDescent="0.35">
      <c r="A10" s="2" t="s">
        <v>32</v>
      </c>
      <c r="B10" s="3" t="s">
        <v>9</v>
      </c>
      <c r="C10" s="3">
        <f>SUM(C11:C15)</f>
        <v>70</v>
      </c>
      <c r="D10" s="3">
        <f t="shared" ref="D10:E10" si="2">SUM(D11:D15)</f>
        <v>105</v>
      </c>
      <c r="E10" s="3">
        <f t="shared" si="2"/>
        <v>86</v>
      </c>
    </row>
    <row r="11" spans="1:5" x14ac:dyDescent="0.35">
      <c r="A11" s="1" t="s">
        <v>33</v>
      </c>
      <c r="B11" t="s">
        <v>10</v>
      </c>
      <c r="C11">
        <v>5</v>
      </c>
      <c r="D11">
        <v>10</v>
      </c>
      <c r="E11">
        <v>7</v>
      </c>
    </row>
    <row r="12" spans="1:5" x14ac:dyDescent="0.35">
      <c r="A12" s="1" t="s">
        <v>34</v>
      </c>
      <c r="B12" t="s">
        <v>11</v>
      </c>
      <c r="C12">
        <v>20</v>
      </c>
      <c r="D12">
        <v>30</v>
      </c>
      <c r="E12">
        <v>25</v>
      </c>
    </row>
    <row r="13" spans="1:5" x14ac:dyDescent="0.35">
      <c r="A13" s="1" t="s">
        <v>35</v>
      </c>
      <c r="B13" t="s">
        <v>12</v>
      </c>
      <c r="C13">
        <v>30</v>
      </c>
      <c r="D13">
        <v>40</v>
      </c>
      <c r="E13">
        <v>35</v>
      </c>
    </row>
    <row r="14" spans="1:5" x14ac:dyDescent="0.35">
      <c r="A14" s="1" t="s">
        <v>36</v>
      </c>
      <c r="B14" t="s">
        <v>57</v>
      </c>
      <c r="C14">
        <v>10</v>
      </c>
      <c r="D14">
        <v>15</v>
      </c>
      <c r="E14">
        <v>12</v>
      </c>
    </row>
    <row r="15" spans="1:5" x14ac:dyDescent="0.35">
      <c r="A15" s="1" t="s">
        <v>56</v>
      </c>
      <c r="B15" t="s">
        <v>13</v>
      </c>
      <c r="C15">
        <v>5</v>
      </c>
      <c r="D15">
        <v>10</v>
      </c>
      <c r="E15">
        <v>7</v>
      </c>
    </row>
    <row r="16" spans="1:5" x14ac:dyDescent="0.35">
      <c r="A16" s="2" t="s">
        <v>37</v>
      </c>
      <c r="B16" s="3" t="s">
        <v>14</v>
      </c>
      <c r="C16" s="3">
        <f>SUM(C17:C19)</f>
        <v>30</v>
      </c>
      <c r="D16" s="3">
        <f t="shared" ref="D16:E16" si="3">SUM(D17:D19)</f>
        <v>45</v>
      </c>
      <c r="E16" s="3">
        <f t="shared" si="3"/>
        <v>37</v>
      </c>
    </row>
    <row r="17" spans="1:5" x14ac:dyDescent="0.35">
      <c r="A17" s="1" t="s">
        <v>38</v>
      </c>
      <c r="B17" t="s">
        <v>15</v>
      </c>
      <c r="C17">
        <v>5</v>
      </c>
      <c r="D17">
        <v>10</v>
      </c>
      <c r="E17">
        <v>7</v>
      </c>
    </row>
    <row r="18" spans="1:5" x14ac:dyDescent="0.35">
      <c r="A18" s="1" t="s">
        <v>39</v>
      </c>
      <c r="B18" t="s">
        <v>16</v>
      </c>
      <c r="C18">
        <v>15</v>
      </c>
      <c r="D18">
        <v>20</v>
      </c>
      <c r="E18">
        <v>17</v>
      </c>
    </row>
    <row r="19" spans="1:5" x14ac:dyDescent="0.35">
      <c r="A19" s="1" t="s">
        <v>40</v>
      </c>
      <c r="B19" t="s">
        <v>17</v>
      </c>
      <c r="C19">
        <v>10</v>
      </c>
      <c r="D19">
        <v>15</v>
      </c>
      <c r="E19">
        <v>13</v>
      </c>
    </row>
    <row r="20" spans="1:5" x14ac:dyDescent="0.35">
      <c r="A20" s="2" t="s">
        <v>41</v>
      </c>
      <c r="B20" s="3" t="s">
        <v>18</v>
      </c>
      <c r="C20" s="3">
        <f>SUM(C21:C23)</f>
        <v>6</v>
      </c>
      <c r="D20" s="3">
        <f t="shared" ref="D20:E20" si="4">SUM(D21:D23)</f>
        <v>11</v>
      </c>
      <c r="E20" s="3">
        <f t="shared" si="4"/>
        <v>8</v>
      </c>
    </row>
    <row r="21" spans="1:5" x14ac:dyDescent="0.35">
      <c r="A21" s="1" t="s">
        <v>42</v>
      </c>
      <c r="B21" t="s">
        <v>19</v>
      </c>
      <c r="C21">
        <v>1</v>
      </c>
      <c r="D21">
        <v>2</v>
      </c>
      <c r="E21">
        <v>1</v>
      </c>
    </row>
    <row r="22" spans="1:5" x14ac:dyDescent="0.35">
      <c r="A22" s="1" t="s">
        <v>43</v>
      </c>
      <c r="B22" t="s">
        <v>20</v>
      </c>
      <c r="C22">
        <v>3</v>
      </c>
      <c r="D22">
        <v>5</v>
      </c>
      <c r="E22">
        <v>4</v>
      </c>
    </row>
    <row r="23" spans="1:5" x14ac:dyDescent="0.35">
      <c r="A23" s="1" t="s">
        <v>44</v>
      </c>
      <c r="B23" t="s">
        <v>21</v>
      </c>
      <c r="C23">
        <v>2</v>
      </c>
      <c r="D23">
        <v>4</v>
      </c>
      <c r="E23">
        <v>3</v>
      </c>
    </row>
    <row r="24" spans="1:5" x14ac:dyDescent="0.35">
      <c r="A24" s="3" t="s">
        <v>22</v>
      </c>
      <c r="B24" s="3"/>
      <c r="C24" s="3">
        <f>C1+C5+C10+C16+C20</f>
        <v>176</v>
      </c>
      <c r="D24" s="3">
        <f t="shared" ref="D24:E24" si="5">D1+D5+D10+D16+D20</f>
        <v>271</v>
      </c>
      <c r="E24" s="3">
        <f t="shared" si="5"/>
        <v>220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58D4AA-46C8-4431-B0AF-76EAA57BF137}">
  <dimension ref="A1:J19"/>
  <sheetViews>
    <sheetView topLeftCell="B1" zoomScale="85" zoomScaleNormal="85" workbookViewId="0">
      <selection activeCell="I19" sqref="I19"/>
    </sheetView>
  </sheetViews>
  <sheetFormatPr defaultRowHeight="14.5" x14ac:dyDescent="0.35"/>
  <cols>
    <col min="1" max="1" width="4.26953125" customWidth="1"/>
    <col min="2" max="2" width="19.08984375" customWidth="1"/>
    <col min="3" max="3" width="9.7265625" customWidth="1"/>
    <col min="4" max="4" width="10.6328125" customWidth="1"/>
    <col min="5" max="5" width="10.1796875" customWidth="1"/>
    <col min="6" max="6" width="13.26953125" customWidth="1"/>
    <col min="7" max="7" width="13.7265625" customWidth="1"/>
  </cols>
  <sheetData>
    <row r="1" spans="1:10" x14ac:dyDescent="0.35">
      <c r="A1" t="s">
        <v>45</v>
      </c>
      <c r="B1" t="s">
        <v>46</v>
      </c>
      <c r="C1" t="s">
        <v>47</v>
      </c>
      <c r="D1" t="s">
        <v>48</v>
      </c>
      <c r="E1" t="s">
        <v>49</v>
      </c>
      <c r="F1" t="s">
        <v>51</v>
      </c>
      <c r="G1" t="s">
        <v>52</v>
      </c>
      <c r="H1" t="s">
        <v>54</v>
      </c>
    </row>
    <row r="2" spans="1:10" x14ac:dyDescent="0.35">
      <c r="A2" s="1" t="s">
        <v>24</v>
      </c>
      <c r="B2" t="s">
        <v>1</v>
      </c>
      <c r="C2">
        <v>8</v>
      </c>
      <c r="D2">
        <v>12</v>
      </c>
      <c r="E2">
        <v>10</v>
      </c>
      <c r="F2">
        <f>(D2+C2+4*E2)/6</f>
        <v>10</v>
      </c>
      <c r="G2">
        <f>(D2-C2)/6</f>
        <v>0.66666666666666663</v>
      </c>
      <c r="H2">
        <f>G2^2</f>
        <v>0.44444444444444442</v>
      </c>
      <c r="I2" t="s">
        <v>53</v>
      </c>
      <c r="J2">
        <f>SUM(F2:F19)</f>
        <v>221.33333333333331</v>
      </c>
    </row>
    <row r="3" spans="1:10" x14ac:dyDescent="0.35">
      <c r="A3" s="1" t="s">
        <v>25</v>
      </c>
      <c r="B3" t="s">
        <v>2</v>
      </c>
      <c r="C3">
        <v>1</v>
      </c>
      <c r="D3">
        <v>2</v>
      </c>
      <c r="E3">
        <v>1</v>
      </c>
      <c r="F3">
        <f t="shared" ref="F3:F13" si="0">(D3+C3+4*E3)/6</f>
        <v>1.1666666666666667</v>
      </c>
      <c r="G3">
        <f t="shared" ref="G3:G13" si="1">(D3-C3)/6</f>
        <v>0.16666666666666666</v>
      </c>
      <c r="H3">
        <f t="shared" ref="H3:H13" si="2">G3^2</f>
        <v>2.7777777777777776E-2</v>
      </c>
      <c r="I3" t="s">
        <v>52</v>
      </c>
      <c r="J3">
        <f>SQRT(SUM(H2:H19))</f>
        <v>4.415880433163923</v>
      </c>
    </row>
    <row r="4" spans="1:10" x14ac:dyDescent="0.35">
      <c r="A4" s="1" t="s">
        <v>26</v>
      </c>
      <c r="B4" t="s">
        <v>3</v>
      </c>
      <c r="C4">
        <v>1</v>
      </c>
      <c r="D4">
        <v>2</v>
      </c>
      <c r="E4">
        <v>1</v>
      </c>
      <c r="F4">
        <f t="shared" si="0"/>
        <v>1.1666666666666667</v>
      </c>
      <c r="G4">
        <f t="shared" si="1"/>
        <v>0.16666666666666666</v>
      </c>
      <c r="H4">
        <f t="shared" si="2"/>
        <v>2.7777777777777776E-2</v>
      </c>
      <c r="I4" t="s">
        <v>55</v>
      </c>
      <c r="J4">
        <f>J2+2*J3</f>
        <v>230.16509419966116</v>
      </c>
    </row>
    <row r="5" spans="1:10" x14ac:dyDescent="0.35">
      <c r="A5" s="1" t="s">
        <v>28</v>
      </c>
      <c r="B5" t="s">
        <v>5</v>
      </c>
      <c r="C5">
        <v>20</v>
      </c>
      <c r="D5">
        <v>30</v>
      </c>
      <c r="E5">
        <v>25</v>
      </c>
      <c r="F5">
        <f t="shared" si="0"/>
        <v>25</v>
      </c>
      <c r="G5">
        <f t="shared" si="1"/>
        <v>1.6666666666666667</v>
      </c>
      <c r="H5">
        <f t="shared" si="2"/>
        <v>2.7777777777777781</v>
      </c>
    </row>
    <row r="6" spans="1:10" x14ac:dyDescent="0.35">
      <c r="A6" s="1" t="s">
        <v>29</v>
      </c>
      <c r="B6" t="s">
        <v>6</v>
      </c>
      <c r="C6">
        <v>25</v>
      </c>
      <c r="D6">
        <v>35</v>
      </c>
      <c r="E6">
        <v>30</v>
      </c>
      <c r="F6">
        <f t="shared" si="0"/>
        <v>30</v>
      </c>
      <c r="G6">
        <f t="shared" si="1"/>
        <v>1.6666666666666667</v>
      </c>
      <c r="H6">
        <f t="shared" si="2"/>
        <v>2.7777777777777781</v>
      </c>
    </row>
    <row r="7" spans="1:10" x14ac:dyDescent="0.35">
      <c r="A7" s="1" t="s">
        <v>30</v>
      </c>
      <c r="B7" t="s">
        <v>7</v>
      </c>
      <c r="C7">
        <v>5</v>
      </c>
      <c r="D7">
        <v>10</v>
      </c>
      <c r="E7">
        <v>7</v>
      </c>
      <c r="F7">
        <f t="shared" si="0"/>
        <v>7.166666666666667</v>
      </c>
      <c r="G7">
        <f t="shared" si="1"/>
        <v>0.83333333333333337</v>
      </c>
      <c r="H7">
        <f t="shared" si="2"/>
        <v>0.69444444444444453</v>
      </c>
    </row>
    <row r="8" spans="1:10" x14ac:dyDescent="0.35">
      <c r="A8" s="1" t="s">
        <v>31</v>
      </c>
      <c r="B8" t="s">
        <v>8</v>
      </c>
      <c r="C8">
        <v>10</v>
      </c>
      <c r="D8">
        <v>20</v>
      </c>
      <c r="E8">
        <v>15</v>
      </c>
      <c r="F8">
        <f t="shared" si="0"/>
        <v>15</v>
      </c>
      <c r="G8">
        <f t="shared" si="1"/>
        <v>1.6666666666666667</v>
      </c>
      <c r="H8">
        <f t="shared" si="2"/>
        <v>2.7777777777777781</v>
      </c>
    </row>
    <row r="9" spans="1:10" x14ac:dyDescent="0.35">
      <c r="A9" s="1" t="s">
        <v>33</v>
      </c>
      <c r="B9" t="s">
        <v>10</v>
      </c>
      <c r="C9">
        <v>5</v>
      </c>
      <c r="D9">
        <v>10</v>
      </c>
      <c r="E9">
        <v>7</v>
      </c>
      <c r="F9">
        <f t="shared" si="0"/>
        <v>7.166666666666667</v>
      </c>
      <c r="G9">
        <f t="shared" si="1"/>
        <v>0.83333333333333337</v>
      </c>
      <c r="H9">
        <f t="shared" si="2"/>
        <v>0.69444444444444453</v>
      </c>
    </row>
    <row r="10" spans="1:10" x14ac:dyDescent="0.35">
      <c r="A10" s="1" t="s">
        <v>34</v>
      </c>
      <c r="B10" t="s">
        <v>11</v>
      </c>
      <c r="C10">
        <v>20</v>
      </c>
      <c r="D10">
        <v>30</v>
      </c>
      <c r="E10">
        <v>25</v>
      </c>
      <c r="F10">
        <f t="shared" si="0"/>
        <v>25</v>
      </c>
      <c r="G10">
        <f t="shared" si="1"/>
        <v>1.6666666666666667</v>
      </c>
      <c r="H10">
        <f t="shared" si="2"/>
        <v>2.7777777777777781</v>
      </c>
    </row>
    <row r="11" spans="1:10" x14ac:dyDescent="0.35">
      <c r="A11" s="1" t="s">
        <v>35</v>
      </c>
      <c r="B11" t="s">
        <v>12</v>
      </c>
      <c r="C11">
        <v>30</v>
      </c>
      <c r="D11">
        <v>40</v>
      </c>
      <c r="E11">
        <v>35</v>
      </c>
      <c r="F11">
        <f t="shared" si="0"/>
        <v>35</v>
      </c>
      <c r="G11">
        <f t="shared" si="1"/>
        <v>1.6666666666666667</v>
      </c>
      <c r="H11">
        <f t="shared" si="2"/>
        <v>2.7777777777777781</v>
      </c>
    </row>
    <row r="12" spans="1:10" x14ac:dyDescent="0.35">
      <c r="A12" s="1" t="s">
        <v>36</v>
      </c>
      <c r="B12" t="s">
        <v>57</v>
      </c>
      <c r="C12">
        <v>10</v>
      </c>
      <c r="D12">
        <v>15</v>
      </c>
      <c r="E12">
        <v>12</v>
      </c>
      <c r="F12">
        <f t="shared" si="0"/>
        <v>12.166666666666666</v>
      </c>
      <c r="G12">
        <f t="shared" si="1"/>
        <v>0.83333333333333337</v>
      </c>
      <c r="H12">
        <f t="shared" si="2"/>
        <v>0.69444444444444453</v>
      </c>
    </row>
    <row r="13" spans="1:10" x14ac:dyDescent="0.35">
      <c r="A13" s="1" t="s">
        <v>56</v>
      </c>
      <c r="B13" t="s">
        <v>13</v>
      </c>
      <c r="C13">
        <v>5</v>
      </c>
      <c r="D13">
        <v>10</v>
      </c>
      <c r="E13">
        <v>7</v>
      </c>
      <c r="F13">
        <f t="shared" si="0"/>
        <v>7.166666666666667</v>
      </c>
      <c r="G13">
        <f t="shared" si="1"/>
        <v>0.83333333333333337</v>
      </c>
      <c r="H13">
        <f t="shared" si="2"/>
        <v>0.69444444444444453</v>
      </c>
    </row>
    <row r="14" spans="1:10" x14ac:dyDescent="0.35">
      <c r="A14" s="1" t="s">
        <v>38</v>
      </c>
      <c r="B14" t="s">
        <v>15</v>
      </c>
      <c r="C14">
        <v>5</v>
      </c>
      <c r="D14">
        <v>10</v>
      </c>
      <c r="E14">
        <v>7</v>
      </c>
      <c r="F14">
        <f t="shared" ref="F14:F19" si="3">(D14+C14+4*E14)/6</f>
        <v>7.166666666666667</v>
      </c>
      <c r="G14">
        <f t="shared" ref="G14:G19" si="4">(D14-C14)/6</f>
        <v>0.83333333333333337</v>
      </c>
      <c r="H14">
        <f t="shared" ref="H14:H19" si="5">G14^2</f>
        <v>0.69444444444444453</v>
      </c>
    </row>
    <row r="15" spans="1:10" x14ac:dyDescent="0.35">
      <c r="A15" s="1" t="s">
        <v>39</v>
      </c>
      <c r="B15" t="s">
        <v>16</v>
      </c>
      <c r="C15">
        <v>15</v>
      </c>
      <c r="D15">
        <v>20</v>
      </c>
      <c r="E15">
        <v>17</v>
      </c>
      <c r="F15">
        <f t="shared" si="3"/>
        <v>17.166666666666668</v>
      </c>
      <c r="G15">
        <f t="shared" si="4"/>
        <v>0.83333333333333337</v>
      </c>
      <c r="H15">
        <f t="shared" si="5"/>
        <v>0.69444444444444453</v>
      </c>
    </row>
    <row r="16" spans="1:10" x14ac:dyDescent="0.35">
      <c r="A16" s="1" t="s">
        <v>40</v>
      </c>
      <c r="B16" t="s">
        <v>50</v>
      </c>
      <c r="C16">
        <v>10</v>
      </c>
      <c r="D16">
        <v>15</v>
      </c>
      <c r="E16">
        <v>13</v>
      </c>
      <c r="F16">
        <f t="shared" si="3"/>
        <v>12.833333333333334</v>
      </c>
      <c r="G16">
        <f t="shared" si="4"/>
        <v>0.83333333333333337</v>
      </c>
      <c r="H16">
        <f t="shared" si="5"/>
        <v>0.69444444444444453</v>
      </c>
    </row>
    <row r="17" spans="1:8" x14ac:dyDescent="0.35">
      <c r="A17" s="1" t="s">
        <v>42</v>
      </c>
      <c r="B17" t="s">
        <v>19</v>
      </c>
      <c r="C17">
        <v>1</v>
      </c>
      <c r="D17">
        <v>2</v>
      </c>
      <c r="E17">
        <v>1</v>
      </c>
      <c r="F17">
        <f t="shared" si="3"/>
        <v>1.1666666666666667</v>
      </c>
      <c r="G17">
        <f t="shared" si="4"/>
        <v>0.16666666666666666</v>
      </c>
      <c r="H17">
        <f t="shared" si="5"/>
        <v>2.7777777777777776E-2</v>
      </c>
    </row>
    <row r="18" spans="1:8" x14ac:dyDescent="0.35">
      <c r="A18" s="1" t="s">
        <v>43</v>
      </c>
      <c r="B18" t="s">
        <v>20</v>
      </c>
      <c r="C18">
        <v>3</v>
      </c>
      <c r="D18">
        <v>5</v>
      </c>
      <c r="E18">
        <v>4</v>
      </c>
      <c r="F18">
        <f t="shared" si="3"/>
        <v>4</v>
      </c>
      <c r="G18">
        <f t="shared" si="4"/>
        <v>0.33333333333333331</v>
      </c>
      <c r="H18">
        <f t="shared" si="5"/>
        <v>0.1111111111111111</v>
      </c>
    </row>
    <row r="19" spans="1:8" x14ac:dyDescent="0.35">
      <c r="A19" s="1" t="s">
        <v>44</v>
      </c>
      <c r="B19" t="s">
        <v>21</v>
      </c>
      <c r="C19">
        <v>2</v>
      </c>
      <c r="D19">
        <v>4</v>
      </c>
      <c r="E19">
        <v>3</v>
      </c>
      <c r="F19">
        <f t="shared" si="3"/>
        <v>3</v>
      </c>
      <c r="G19">
        <f t="shared" si="4"/>
        <v>0.33333333333333331</v>
      </c>
      <c r="H19">
        <f t="shared" si="5"/>
        <v>0.1111111111111111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12037-FCFC-4246-966F-80C0C6F5A596}">
  <dimension ref="A1:F40"/>
  <sheetViews>
    <sheetView topLeftCell="A28" workbookViewId="0">
      <selection activeCell="B42" sqref="B42"/>
    </sheetView>
  </sheetViews>
  <sheetFormatPr defaultRowHeight="14.5" x14ac:dyDescent="0.35"/>
  <cols>
    <col min="1" max="1" width="14" customWidth="1"/>
    <col min="2" max="2" width="51.08984375" customWidth="1"/>
  </cols>
  <sheetData>
    <row r="1" spans="1:6" x14ac:dyDescent="0.35">
      <c r="A1" t="s">
        <v>68</v>
      </c>
      <c r="B1">
        <f>SUM(E3:E5)</f>
        <v>14</v>
      </c>
    </row>
    <row r="2" spans="1:6" x14ac:dyDescent="0.35">
      <c r="A2" t="s">
        <v>58</v>
      </c>
      <c r="B2" t="s">
        <v>64</v>
      </c>
      <c r="C2" t="s">
        <v>60</v>
      </c>
    </row>
    <row r="3" spans="1:6" x14ac:dyDescent="0.35">
      <c r="A3" t="s">
        <v>65</v>
      </c>
      <c r="B3">
        <v>2</v>
      </c>
      <c r="C3">
        <v>1</v>
      </c>
      <c r="E3">
        <f>B3*C3</f>
        <v>2</v>
      </c>
    </row>
    <row r="4" spans="1:6" x14ac:dyDescent="0.35">
      <c r="A4" t="s">
        <v>66</v>
      </c>
      <c r="B4">
        <v>3</v>
      </c>
      <c r="C4">
        <v>2</v>
      </c>
      <c r="E4">
        <f t="shared" ref="E4:E5" si="0">B4*C4</f>
        <v>6</v>
      </c>
    </row>
    <row r="5" spans="1:6" x14ac:dyDescent="0.35">
      <c r="A5" t="s">
        <v>67</v>
      </c>
      <c r="B5">
        <v>2</v>
      </c>
      <c r="C5">
        <v>3</v>
      </c>
      <c r="E5">
        <f t="shared" si="0"/>
        <v>6</v>
      </c>
    </row>
    <row r="7" spans="1:6" x14ac:dyDescent="0.35">
      <c r="A7" t="s">
        <v>69</v>
      </c>
      <c r="B7">
        <f>SUM(E9:E11)</f>
        <v>105</v>
      </c>
    </row>
    <row r="8" spans="1:6" x14ac:dyDescent="0.35">
      <c r="A8" t="s">
        <v>58</v>
      </c>
      <c r="B8" t="s">
        <v>59</v>
      </c>
      <c r="C8" t="s">
        <v>60</v>
      </c>
    </row>
    <row r="9" spans="1:6" x14ac:dyDescent="0.35">
      <c r="A9" t="s">
        <v>61</v>
      </c>
      <c r="B9">
        <v>5</v>
      </c>
      <c r="C9">
        <v>5</v>
      </c>
      <c r="E9">
        <f>B9*C9</f>
        <v>25</v>
      </c>
    </row>
    <row r="10" spans="1:6" x14ac:dyDescent="0.35">
      <c r="A10" t="s">
        <v>62</v>
      </c>
      <c r="B10">
        <v>5</v>
      </c>
      <c r="C10">
        <v>10</v>
      </c>
      <c r="E10">
        <f t="shared" ref="E10:E11" si="1">B10*C10</f>
        <v>50</v>
      </c>
    </row>
    <row r="11" spans="1:6" x14ac:dyDescent="0.35">
      <c r="A11" t="s">
        <v>63</v>
      </c>
      <c r="B11">
        <v>2</v>
      </c>
      <c r="C11">
        <v>15</v>
      </c>
      <c r="E11">
        <f t="shared" si="1"/>
        <v>30</v>
      </c>
    </row>
    <row r="13" spans="1:6" x14ac:dyDescent="0.35">
      <c r="A13" t="s">
        <v>70</v>
      </c>
      <c r="B13">
        <f>SUM(F15:F27)</f>
        <v>14.5</v>
      </c>
      <c r="C13" t="s">
        <v>71</v>
      </c>
      <c r="D13">
        <f>0.6 + B13/100</f>
        <v>0.745</v>
      </c>
    </row>
    <row r="14" spans="1:6" x14ac:dyDescent="0.35">
      <c r="A14" t="s">
        <v>72</v>
      </c>
      <c r="B14" t="s">
        <v>73</v>
      </c>
      <c r="C14" t="s">
        <v>60</v>
      </c>
      <c r="D14" t="s">
        <v>74</v>
      </c>
    </row>
    <row r="15" spans="1:6" x14ac:dyDescent="0.35">
      <c r="A15" t="s">
        <v>75</v>
      </c>
      <c r="B15" t="s">
        <v>76</v>
      </c>
      <c r="C15">
        <v>2</v>
      </c>
      <c r="D15">
        <v>0</v>
      </c>
      <c r="F15">
        <f>C15*D15</f>
        <v>0</v>
      </c>
    </row>
    <row r="16" spans="1:6" x14ac:dyDescent="0.35">
      <c r="A16" t="s">
        <v>77</v>
      </c>
      <c r="B16" t="s">
        <v>78</v>
      </c>
      <c r="C16">
        <v>1</v>
      </c>
      <c r="D16">
        <v>1</v>
      </c>
      <c r="F16">
        <f t="shared" ref="F16:F27" si="2">C16*D16</f>
        <v>1</v>
      </c>
    </row>
    <row r="17" spans="1:6" x14ac:dyDescent="0.35">
      <c r="A17" t="s">
        <v>79</v>
      </c>
      <c r="B17" t="s">
        <v>80</v>
      </c>
      <c r="C17">
        <v>1</v>
      </c>
      <c r="D17">
        <v>3</v>
      </c>
      <c r="F17">
        <f t="shared" si="2"/>
        <v>3</v>
      </c>
    </row>
    <row r="18" spans="1:6" x14ac:dyDescent="0.35">
      <c r="A18" t="s">
        <v>81</v>
      </c>
      <c r="B18" t="s">
        <v>82</v>
      </c>
      <c r="C18">
        <v>1</v>
      </c>
      <c r="D18">
        <v>1</v>
      </c>
      <c r="F18">
        <f t="shared" si="2"/>
        <v>1</v>
      </c>
    </row>
    <row r="19" spans="1:6" x14ac:dyDescent="0.35">
      <c r="A19" t="s">
        <v>83</v>
      </c>
      <c r="B19" t="s">
        <v>84</v>
      </c>
      <c r="C19">
        <v>1</v>
      </c>
      <c r="D19">
        <v>0</v>
      </c>
      <c r="F19">
        <f t="shared" si="2"/>
        <v>0</v>
      </c>
    </row>
    <row r="20" spans="1:6" x14ac:dyDescent="0.35">
      <c r="A20" t="s">
        <v>85</v>
      </c>
      <c r="B20" t="s">
        <v>86</v>
      </c>
      <c r="C20">
        <v>1</v>
      </c>
      <c r="D20">
        <v>1</v>
      </c>
      <c r="F20">
        <f t="shared" si="2"/>
        <v>1</v>
      </c>
    </row>
    <row r="21" spans="1:6" x14ac:dyDescent="0.35">
      <c r="A21" t="s">
        <v>87</v>
      </c>
      <c r="B21" t="s">
        <v>88</v>
      </c>
      <c r="C21">
        <v>0.5</v>
      </c>
      <c r="D21">
        <v>3</v>
      </c>
      <c r="F21">
        <f t="shared" si="2"/>
        <v>1.5</v>
      </c>
    </row>
    <row r="22" spans="1:6" x14ac:dyDescent="0.35">
      <c r="A22" t="s">
        <v>89</v>
      </c>
      <c r="B22" t="s">
        <v>90</v>
      </c>
      <c r="C22">
        <v>0.5</v>
      </c>
      <c r="D22">
        <v>0</v>
      </c>
      <c r="F22">
        <f t="shared" si="2"/>
        <v>0</v>
      </c>
    </row>
    <row r="23" spans="1:6" x14ac:dyDescent="0.35">
      <c r="A23" t="s">
        <v>91</v>
      </c>
      <c r="B23" t="s">
        <v>92</v>
      </c>
      <c r="C23">
        <v>2</v>
      </c>
      <c r="D23">
        <v>2</v>
      </c>
      <c r="F23">
        <f t="shared" si="2"/>
        <v>4</v>
      </c>
    </row>
    <row r="24" spans="1:6" x14ac:dyDescent="0.35">
      <c r="A24" t="s">
        <v>93</v>
      </c>
      <c r="B24" t="s">
        <v>94</v>
      </c>
      <c r="C24">
        <v>1</v>
      </c>
      <c r="D24">
        <v>0</v>
      </c>
      <c r="F24">
        <f t="shared" si="2"/>
        <v>0</v>
      </c>
    </row>
    <row r="25" spans="1:6" x14ac:dyDescent="0.35">
      <c r="A25" t="s">
        <v>95</v>
      </c>
      <c r="B25" t="s">
        <v>96</v>
      </c>
      <c r="C25">
        <v>1</v>
      </c>
      <c r="D25">
        <v>1</v>
      </c>
      <c r="F25">
        <f t="shared" si="2"/>
        <v>1</v>
      </c>
    </row>
    <row r="26" spans="1:6" x14ac:dyDescent="0.35">
      <c r="A26" t="s">
        <v>97</v>
      </c>
      <c r="B26" t="s">
        <v>98</v>
      </c>
      <c r="C26">
        <v>1</v>
      </c>
      <c r="D26">
        <v>2</v>
      </c>
      <c r="F26">
        <f t="shared" si="2"/>
        <v>2</v>
      </c>
    </row>
    <row r="27" spans="1:6" x14ac:dyDescent="0.35">
      <c r="A27" t="s">
        <v>99</v>
      </c>
      <c r="B27" t="s">
        <v>100</v>
      </c>
      <c r="C27">
        <v>1</v>
      </c>
      <c r="D27">
        <v>0</v>
      </c>
      <c r="F27">
        <f t="shared" si="2"/>
        <v>0</v>
      </c>
    </row>
    <row r="29" spans="1:6" x14ac:dyDescent="0.35">
      <c r="A29" t="s">
        <v>101</v>
      </c>
      <c r="B29">
        <f>SUM(F31:F38)</f>
        <v>10</v>
      </c>
      <c r="C29" t="s">
        <v>102</v>
      </c>
      <c r="D29">
        <f>1.4 + (0.03 * B29)</f>
        <v>1.7</v>
      </c>
    </row>
    <row r="30" spans="1:6" x14ac:dyDescent="0.35">
      <c r="A30" t="s">
        <v>72</v>
      </c>
      <c r="B30" t="s">
        <v>73</v>
      </c>
      <c r="C30" t="s">
        <v>60</v>
      </c>
      <c r="D30" t="s">
        <v>103</v>
      </c>
    </row>
    <row r="31" spans="1:6" x14ac:dyDescent="0.35">
      <c r="A31" t="s">
        <v>104</v>
      </c>
      <c r="B31" t="s">
        <v>105</v>
      </c>
      <c r="C31">
        <v>1.5</v>
      </c>
      <c r="D31">
        <v>2</v>
      </c>
      <c r="F31">
        <f>C31*D31</f>
        <v>3</v>
      </c>
    </row>
    <row r="32" spans="1:6" x14ac:dyDescent="0.35">
      <c r="A32" t="s">
        <v>106</v>
      </c>
      <c r="B32" t="s">
        <v>107</v>
      </c>
      <c r="C32">
        <v>0.5</v>
      </c>
      <c r="D32">
        <v>3</v>
      </c>
      <c r="F32">
        <f t="shared" ref="F32:F38" si="3">C32*D32</f>
        <v>1.5</v>
      </c>
    </row>
    <row r="33" spans="1:6" x14ac:dyDescent="0.35">
      <c r="A33" t="s">
        <v>108</v>
      </c>
      <c r="B33" t="s">
        <v>109</v>
      </c>
      <c r="C33">
        <v>1</v>
      </c>
      <c r="D33">
        <v>1</v>
      </c>
      <c r="F33">
        <f t="shared" si="3"/>
        <v>1</v>
      </c>
    </row>
    <row r="34" spans="1:6" x14ac:dyDescent="0.35">
      <c r="A34" t="s">
        <v>110</v>
      </c>
      <c r="B34" t="s">
        <v>111</v>
      </c>
      <c r="C34">
        <v>0.5</v>
      </c>
      <c r="D34">
        <v>1</v>
      </c>
      <c r="F34">
        <f t="shared" si="3"/>
        <v>0.5</v>
      </c>
    </row>
    <row r="35" spans="1:6" x14ac:dyDescent="0.35">
      <c r="A35" t="s">
        <v>112</v>
      </c>
      <c r="B35" t="s">
        <v>113</v>
      </c>
      <c r="C35">
        <v>1</v>
      </c>
      <c r="D35">
        <v>2</v>
      </c>
      <c r="F35">
        <f t="shared" si="3"/>
        <v>2</v>
      </c>
    </row>
    <row r="36" spans="1:6" x14ac:dyDescent="0.35">
      <c r="A36" t="s">
        <v>114</v>
      </c>
      <c r="B36" t="s">
        <v>115</v>
      </c>
      <c r="C36">
        <v>2</v>
      </c>
      <c r="D36">
        <v>3</v>
      </c>
      <c r="F36">
        <f t="shared" si="3"/>
        <v>6</v>
      </c>
    </row>
    <row r="37" spans="1:6" x14ac:dyDescent="0.35">
      <c r="A37" t="s">
        <v>116</v>
      </c>
      <c r="B37" t="s">
        <v>117</v>
      </c>
      <c r="C37">
        <v>-1</v>
      </c>
      <c r="D37">
        <v>3</v>
      </c>
      <c r="F37">
        <f t="shared" si="3"/>
        <v>-3</v>
      </c>
    </row>
    <row r="38" spans="1:6" x14ac:dyDescent="0.35">
      <c r="A38" t="s">
        <v>118</v>
      </c>
      <c r="B38" t="s">
        <v>119</v>
      </c>
      <c r="C38">
        <v>-1</v>
      </c>
      <c r="D38">
        <v>1</v>
      </c>
      <c r="F38">
        <f t="shared" si="3"/>
        <v>-1</v>
      </c>
    </row>
    <row r="40" spans="1:6" x14ac:dyDescent="0.35">
      <c r="B40" t="s">
        <v>120</v>
      </c>
      <c r="C40">
        <f>(B1+B7)*D13*D29</f>
        <v>150.71350000000001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DA6478-BC23-4131-BF7F-A7DC795864B2}">
  <dimension ref="A1:F45"/>
  <sheetViews>
    <sheetView tabSelected="1" topLeftCell="B36" workbookViewId="0">
      <selection activeCell="B51" sqref="B51"/>
    </sheetView>
  </sheetViews>
  <sheetFormatPr defaultRowHeight="14.5" x14ac:dyDescent="0.35"/>
  <cols>
    <col min="1" max="1" width="14.453125" customWidth="1"/>
    <col min="2" max="2" width="50.90625" customWidth="1"/>
    <col min="4" max="4" width="10.81640625" customWidth="1"/>
  </cols>
  <sheetData>
    <row r="1" spans="1:6" x14ac:dyDescent="0.35">
      <c r="A1" t="s">
        <v>68</v>
      </c>
      <c r="B1">
        <f>SUM(E3:E5)</f>
        <v>11</v>
      </c>
    </row>
    <row r="2" spans="1:6" x14ac:dyDescent="0.35">
      <c r="A2" t="s">
        <v>58</v>
      </c>
      <c r="B2" t="s">
        <v>64</v>
      </c>
      <c r="C2" t="s">
        <v>60</v>
      </c>
    </row>
    <row r="3" spans="1:6" x14ac:dyDescent="0.35">
      <c r="A3" t="s">
        <v>65</v>
      </c>
      <c r="B3">
        <v>2</v>
      </c>
      <c r="C3">
        <v>1</v>
      </c>
      <c r="E3">
        <f>B3*C3</f>
        <v>2</v>
      </c>
    </row>
    <row r="4" spans="1:6" x14ac:dyDescent="0.35">
      <c r="A4" t="s">
        <v>66</v>
      </c>
      <c r="B4">
        <v>3</v>
      </c>
      <c r="C4">
        <v>2</v>
      </c>
      <c r="E4">
        <f t="shared" ref="E4:E5" si="0">B4*C4</f>
        <v>6</v>
      </c>
    </row>
    <row r="5" spans="1:6" x14ac:dyDescent="0.35">
      <c r="A5" t="s">
        <v>67</v>
      </c>
      <c r="B5">
        <v>1</v>
      </c>
      <c r="C5">
        <v>3</v>
      </c>
      <c r="E5">
        <f t="shared" si="0"/>
        <v>3</v>
      </c>
    </row>
    <row r="7" spans="1:6" x14ac:dyDescent="0.35">
      <c r="A7" t="s">
        <v>69</v>
      </c>
      <c r="B7">
        <f>SUM(E9:E11)</f>
        <v>150</v>
      </c>
    </row>
    <row r="8" spans="1:6" x14ac:dyDescent="0.35">
      <c r="A8" t="s">
        <v>58</v>
      </c>
      <c r="B8" t="s">
        <v>59</v>
      </c>
      <c r="C8" t="s">
        <v>60</v>
      </c>
    </row>
    <row r="9" spans="1:6" x14ac:dyDescent="0.35">
      <c r="A9" t="s">
        <v>61</v>
      </c>
      <c r="B9">
        <v>3</v>
      </c>
      <c r="C9">
        <v>5</v>
      </c>
      <c r="E9">
        <f>B9*C9</f>
        <v>15</v>
      </c>
    </row>
    <row r="10" spans="1:6" x14ac:dyDescent="0.35">
      <c r="A10" t="s">
        <v>62</v>
      </c>
      <c r="B10">
        <v>6</v>
      </c>
      <c r="C10">
        <v>10</v>
      </c>
      <c r="E10">
        <f t="shared" ref="E10:E11" si="1">B10*C10</f>
        <v>60</v>
      </c>
    </row>
    <row r="11" spans="1:6" x14ac:dyDescent="0.35">
      <c r="A11" t="s">
        <v>63</v>
      </c>
      <c r="B11">
        <v>5</v>
      </c>
      <c r="C11">
        <v>15</v>
      </c>
      <c r="E11">
        <f t="shared" si="1"/>
        <v>75</v>
      </c>
    </row>
    <row r="13" spans="1:6" x14ac:dyDescent="0.35">
      <c r="A13" t="s">
        <v>70</v>
      </c>
      <c r="B13">
        <f>SUM(F15:F27)</f>
        <v>50</v>
      </c>
      <c r="C13" t="s">
        <v>71</v>
      </c>
      <c r="D13">
        <f>0.6 + B13/100</f>
        <v>1.1000000000000001</v>
      </c>
    </row>
    <row r="14" spans="1:6" x14ac:dyDescent="0.35">
      <c r="A14" t="s">
        <v>72</v>
      </c>
      <c r="B14" t="s">
        <v>73</v>
      </c>
      <c r="C14" t="s">
        <v>60</v>
      </c>
      <c r="D14" t="s">
        <v>74</v>
      </c>
    </row>
    <row r="15" spans="1:6" x14ac:dyDescent="0.35">
      <c r="A15" t="s">
        <v>75</v>
      </c>
      <c r="B15" t="s">
        <v>76</v>
      </c>
      <c r="C15">
        <v>2</v>
      </c>
      <c r="D15">
        <v>2</v>
      </c>
      <c r="F15">
        <f>C15*D15</f>
        <v>4</v>
      </c>
    </row>
    <row r="16" spans="1:6" x14ac:dyDescent="0.35">
      <c r="A16" t="s">
        <v>77</v>
      </c>
      <c r="B16" t="s">
        <v>78</v>
      </c>
      <c r="C16">
        <v>1</v>
      </c>
      <c r="D16">
        <v>4</v>
      </c>
      <c r="F16">
        <f t="shared" ref="F16:F27" si="2">C16*D16</f>
        <v>4</v>
      </c>
    </row>
    <row r="17" spans="1:6" x14ac:dyDescent="0.35">
      <c r="A17" t="s">
        <v>79</v>
      </c>
      <c r="B17" t="s">
        <v>80</v>
      </c>
      <c r="C17">
        <v>1</v>
      </c>
      <c r="D17">
        <v>5</v>
      </c>
      <c r="F17">
        <f t="shared" si="2"/>
        <v>5</v>
      </c>
    </row>
    <row r="18" spans="1:6" x14ac:dyDescent="0.35">
      <c r="A18" t="s">
        <v>81</v>
      </c>
      <c r="B18" t="s">
        <v>82</v>
      </c>
      <c r="C18">
        <v>1</v>
      </c>
      <c r="D18">
        <v>5</v>
      </c>
      <c r="F18">
        <f t="shared" si="2"/>
        <v>5</v>
      </c>
    </row>
    <row r="19" spans="1:6" x14ac:dyDescent="0.35">
      <c r="A19" t="s">
        <v>83</v>
      </c>
      <c r="B19" t="s">
        <v>84</v>
      </c>
      <c r="C19">
        <v>1</v>
      </c>
      <c r="D19">
        <v>2</v>
      </c>
      <c r="F19">
        <f t="shared" si="2"/>
        <v>2</v>
      </c>
    </row>
    <row r="20" spans="1:6" x14ac:dyDescent="0.35">
      <c r="A20" t="s">
        <v>85</v>
      </c>
      <c r="B20" t="s">
        <v>86</v>
      </c>
      <c r="C20">
        <v>1</v>
      </c>
      <c r="D20">
        <v>5</v>
      </c>
      <c r="F20">
        <f t="shared" si="2"/>
        <v>5</v>
      </c>
    </row>
    <row r="21" spans="1:6" x14ac:dyDescent="0.35">
      <c r="A21" t="s">
        <v>87</v>
      </c>
      <c r="B21" t="s">
        <v>88</v>
      </c>
      <c r="C21">
        <v>0.5</v>
      </c>
      <c r="D21">
        <v>2</v>
      </c>
      <c r="F21">
        <f t="shared" si="2"/>
        <v>1</v>
      </c>
    </row>
    <row r="22" spans="1:6" x14ac:dyDescent="0.35">
      <c r="A22" t="s">
        <v>89</v>
      </c>
      <c r="B22" t="s">
        <v>90</v>
      </c>
      <c r="C22">
        <v>0.5</v>
      </c>
      <c r="D22">
        <v>2</v>
      </c>
      <c r="F22">
        <f t="shared" si="2"/>
        <v>1</v>
      </c>
    </row>
    <row r="23" spans="1:6" x14ac:dyDescent="0.35">
      <c r="A23" t="s">
        <v>91</v>
      </c>
      <c r="B23" t="s">
        <v>92</v>
      </c>
      <c r="C23">
        <v>2</v>
      </c>
      <c r="D23">
        <v>6</v>
      </c>
      <c r="F23">
        <f t="shared" si="2"/>
        <v>12</v>
      </c>
    </row>
    <row r="24" spans="1:6" x14ac:dyDescent="0.35">
      <c r="A24" t="s">
        <v>93</v>
      </c>
      <c r="B24" t="s">
        <v>94</v>
      </c>
      <c r="C24">
        <v>1</v>
      </c>
      <c r="D24">
        <v>2</v>
      </c>
      <c r="F24">
        <f t="shared" si="2"/>
        <v>2</v>
      </c>
    </row>
    <row r="25" spans="1:6" x14ac:dyDescent="0.35">
      <c r="A25" t="s">
        <v>95</v>
      </c>
      <c r="B25" t="s">
        <v>96</v>
      </c>
      <c r="C25">
        <v>1</v>
      </c>
      <c r="D25">
        <v>4</v>
      </c>
      <c r="F25">
        <f t="shared" si="2"/>
        <v>4</v>
      </c>
    </row>
    <row r="26" spans="1:6" x14ac:dyDescent="0.35">
      <c r="A26" t="s">
        <v>97</v>
      </c>
      <c r="B26" t="s">
        <v>98</v>
      </c>
      <c r="C26">
        <v>1</v>
      </c>
      <c r="D26">
        <v>3</v>
      </c>
      <c r="F26">
        <f t="shared" si="2"/>
        <v>3</v>
      </c>
    </row>
    <row r="27" spans="1:6" x14ac:dyDescent="0.35">
      <c r="A27" t="s">
        <v>99</v>
      </c>
      <c r="B27" t="s">
        <v>100</v>
      </c>
      <c r="C27">
        <v>1</v>
      </c>
      <c r="D27">
        <v>2</v>
      </c>
      <c r="F27">
        <f t="shared" si="2"/>
        <v>2</v>
      </c>
    </row>
    <row r="29" spans="1:6" x14ac:dyDescent="0.35">
      <c r="A29" t="s">
        <v>101</v>
      </c>
      <c r="B29">
        <f>SUM(F31:F38)</f>
        <v>16.5</v>
      </c>
      <c r="C29" t="s">
        <v>102</v>
      </c>
      <c r="D29">
        <f>1.4 + (-0.03 * B29)</f>
        <v>0.90499999999999992</v>
      </c>
    </row>
    <row r="30" spans="1:6" x14ac:dyDescent="0.35">
      <c r="A30" t="s">
        <v>72</v>
      </c>
      <c r="B30" t="s">
        <v>73</v>
      </c>
      <c r="C30" t="s">
        <v>60</v>
      </c>
      <c r="D30" t="s">
        <v>103</v>
      </c>
    </row>
    <row r="31" spans="1:6" x14ac:dyDescent="0.35">
      <c r="A31" t="s">
        <v>104</v>
      </c>
      <c r="B31" t="s">
        <v>105</v>
      </c>
      <c r="C31">
        <v>1.5</v>
      </c>
      <c r="D31">
        <v>3</v>
      </c>
      <c r="F31">
        <f>C31*D31</f>
        <v>4.5</v>
      </c>
    </row>
    <row r="32" spans="1:6" x14ac:dyDescent="0.35">
      <c r="A32" t="s">
        <v>106</v>
      </c>
      <c r="B32" t="s">
        <v>107</v>
      </c>
      <c r="C32">
        <v>0.5</v>
      </c>
      <c r="D32">
        <v>3</v>
      </c>
      <c r="F32">
        <f t="shared" ref="F32:F38" si="3">C32*D32</f>
        <v>1.5</v>
      </c>
    </row>
    <row r="33" spans="1:6" x14ac:dyDescent="0.35">
      <c r="A33" t="s">
        <v>108</v>
      </c>
      <c r="B33" t="s">
        <v>109</v>
      </c>
      <c r="C33">
        <v>1</v>
      </c>
      <c r="D33">
        <v>4</v>
      </c>
      <c r="F33">
        <f t="shared" si="3"/>
        <v>4</v>
      </c>
    </row>
    <row r="34" spans="1:6" x14ac:dyDescent="0.35">
      <c r="A34" t="s">
        <v>110</v>
      </c>
      <c r="B34" t="s">
        <v>111</v>
      </c>
      <c r="C34">
        <v>0.5</v>
      </c>
      <c r="D34">
        <v>3</v>
      </c>
      <c r="F34">
        <f t="shared" si="3"/>
        <v>1.5</v>
      </c>
    </row>
    <row r="35" spans="1:6" x14ac:dyDescent="0.35">
      <c r="A35" t="s">
        <v>112</v>
      </c>
      <c r="B35" t="s">
        <v>113</v>
      </c>
      <c r="C35">
        <v>1</v>
      </c>
      <c r="D35">
        <v>4</v>
      </c>
      <c r="F35">
        <f t="shared" si="3"/>
        <v>4</v>
      </c>
    </row>
    <row r="36" spans="1:6" x14ac:dyDescent="0.35">
      <c r="A36" t="s">
        <v>114</v>
      </c>
      <c r="B36" t="s">
        <v>115</v>
      </c>
      <c r="C36">
        <v>2</v>
      </c>
      <c r="D36">
        <v>2</v>
      </c>
      <c r="F36">
        <f t="shared" si="3"/>
        <v>4</v>
      </c>
    </row>
    <row r="37" spans="1:6" x14ac:dyDescent="0.35">
      <c r="A37" t="s">
        <v>116</v>
      </c>
      <c r="B37" t="s">
        <v>117</v>
      </c>
      <c r="C37">
        <v>-1</v>
      </c>
      <c r="D37">
        <v>1</v>
      </c>
      <c r="F37">
        <f t="shared" si="3"/>
        <v>-1</v>
      </c>
    </row>
    <row r="38" spans="1:6" x14ac:dyDescent="0.35">
      <c r="A38" t="s">
        <v>118</v>
      </c>
      <c r="B38" t="s">
        <v>119</v>
      </c>
      <c r="C38">
        <v>-1</v>
      </c>
      <c r="D38">
        <v>2</v>
      </c>
      <c r="F38">
        <f t="shared" si="3"/>
        <v>-2</v>
      </c>
    </row>
    <row r="40" spans="1:6" x14ac:dyDescent="0.35">
      <c r="B40" t="s">
        <v>120</v>
      </c>
      <c r="C40">
        <f>(B1+B7)*D13*D29</f>
        <v>160.27549999999999</v>
      </c>
    </row>
    <row r="43" spans="1:6" x14ac:dyDescent="0.35">
      <c r="B43" t="s">
        <v>121</v>
      </c>
      <c r="C43">
        <v>150</v>
      </c>
    </row>
    <row r="44" spans="1:6" x14ac:dyDescent="0.35">
      <c r="B44" t="s">
        <v>122</v>
      </c>
      <c r="C44">
        <f>C43/C40</f>
        <v>0.93588851695985975</v>
      </c>
    </row>
    <row r="45" spans="1:6" x14ac:dyDescent="0.35">
      <c r="B45" t="s">
        <v>123</v>
      </c>
      <c r="C45">
        <f>C44*'UCP проекта'!C40</f>
        <v>141.05103400082984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CFE31-6F28-49AD-8E48-3D0348935F8B}">
  <dimension ref="A1:H22"/>
  <sheetViews>
    <sheetView workbookViewId="0">
      <selection activeCell="C23" sqref="C23"/>
    </sheetView>
  </sheetViews>
  <sheetFormatPr defaultRowHeight="14.5" x14ac:dyDescent="0.35"/>
  <cols>
    <col min="1" max="1" width="8.90625" customWidth="1"/>
    <col min="2" max="2" width="61.81640625" customWidth="1"/>
  </cols>
  <sheetData>
    <row r="1" spans="1:8" x14ac:dyDescent="0.35">
      <c r="A1" s="4">
        <v>45658</v>
      </c>
      <c r="B1" t="s">
        <v>1</v>
      </c>
      <c r="C1">
        <v>8</v>
      </c>
      <c r="D1">
        <v>12</v>
      </c>
      <c r="E1">
        <v>10</v>
      </c>
      <c r="F1" s="5">
        <f>(C1+D1+4*E1)/6</f>
        <v>10</v>
      </c>
      <c r="G1" s="5">
        <f>(D1-C1)/6</f>
        <v>0.66666666666666663</v>
      </c>
      <c r="H1" s="5">
        <f>G1^2</f>
        <v>0.44444444444444442</v>
      </c>
    </row>
    <row r="2" spans="1:8" x14ac:dyDescent="0.35">
      <c r="A2" s="4">
        <v>45689</v>
      </c>
      <c r="B2" t="s">
        <v>2</v>
      </c>
      <c r="C2">
        <v>1</v>
      </c>
      <c r="D2">
        <v>2</v>
      </c>
      <c r="E2">
        <v>1</v>
      </c>
      <c r="F2" s="5">
        <f>(C2+D2+4*E2)/6</f>
        <v>1.1666666666666667</v>
      </c>
      <c r="G2" s="5">
        <f t="shared" ref="G2:G19" si="0">(D2-C2)/6</f>
        <v>0.16666666666666666</v>
      </c>
      <c r="H2" s="5">
        <f t="shared" ref="H2:H19" si="1">G2^2</f>
        <v>2.7777777777777776E-2</v>
      </c>
    </row>
    <row r="3" spans="1:8" x14ac:dyDescent="0.35">
      <c r="A3" s="4">
        <v>45717</v>
      </c>
      <c r="B3" t="s">
        <v>3</v>
      </c>
      <c r="C3">
        <v>1</v>
      </c>
      <c r="D3">
        <v>2</v>
      </c>
      <c r="E3">
        <v>1</v>
      </c>
      <c r="F3" s="5">
        <f t="shared" ref="F3:F19" si="2">(C3+D3+4*E3)/6</f>
        <v>1.1666666666666667</v>
      </c>
      <c r="G3" s="5">
        <f t="shared" si="0"/>
        <v>0.16666666666666666</v>
      </c>
      <c r="H3" s="5">
        <f t="shared" si="1"/>
        <v>2.7777777777777776E-2</v>
      </c>
    </row>
    <row r="4" spans="1:8" x14ac:dyDescent="0.35">
      <c r="A4" s="4">
        <v>45659</v>
      </c>
      <c r="B4" t="s">
        <v>124</v>
      </c>
      <c r="C4">
        <v>8</v>
      </c>
      <c r="D4">
        <v>12</v>
      </c>
      <c r="E4">
        <v>10</v>
      </c>
      <c r="F4" s="5">
        <f t="shared" si="2"/>
        <v>10</v>
      </c>
      <c r="G4" s="5">
        <f t="shared" si="0"/>
        <v>0.66666666666666663</v>
      </c>
      <c r="H4" s="5">
        <f t="shared" si="1"/>
        <v>0.44444444444444442</v>
      </c>
    </row>
    <row r="5" spans="1:8" x14ac:dyDescent="0.35">
      <c r="A5" s="4">
        <v>45690</v>
      </c>
      <c r="B5" t="s">
        <v>125</v>
      </c>
      <c r="C5">
        <v>16</v>
      </c>
      <c r="D5">
        <v>24</v>
      </c>
      <c r="E5">
        <v>20</v>
      </c>
      <c r="F5" s="5">
        <f t="shared" si="2"/>
        <v>20</v>
      </c>
      <c r="G5" s="5">
        <f t="shared" si="0"/>
        <v>1.3333333333333333</v>
      </c>
      <c r="H5" s="5">
        <f t="shared" si="1"/>
        <v>1.7777777777777777</v>
      </c>
    </row>
    <row r="6" spans="1:8" x14ac:dyDescent="0.35">
      <c r="A6" s="4">
        <v>45718</v>
      </c>
      <c r="B6" t="s">
        <v>126</v>
      </c>
      <c r="C6">
        <v>16</v>
      </c>
      <c r="D6">
        <v>24</v>
      </c>
      <c r="E6">
        <v>20</v>
      </c>
      <c r="F6" s="5">
        <f t="shared" si="2"/>
        <v>20</v>
      </c>
      <c r="G6" s="5">
        <f t="shared" si="0"/>
        <v>1.3333333333333333</v>
      </c>
      <c r="H6" s="5">
        <f t="shared" si="1"/>
        <v>1.7777777777777777</v>
      </c>
    </row>
    <row r="7" spans="1:8" x14ac:dyDescent="0.35">
      <c r="A7" s="4">
        <v>45749</v>
      </c>
      <c r="B7" t="s">
        <v>127</v>
      </c>
      <c r="C7">
        <v>16</v>
      </c>
      <c r="D7">
        <v>24</v>
      </c>
      <c r="E7">
        <v>20</v>
      </c>
      <c r="F7" s="5">
        <f t="shared" si="2"/>
        <v>20</v>
      </c>
      <c r="G7" s="5">
        <f t="shared" si="0"/>
        <v>1.3333333333333333</v>
      </c>
      <c r="H7" s="5">
        <f t="shared" si="1"/>
        <v>1.7777777777777777</v>
      </c>
    </row>
    <row r="8" spans="1:8" x14ac:dyDescent="0.35">
      <c r="A8" s="4">
        <v>45779</v>
      </c>
      <c r="B8" t="s">
        <v>128</v>
      </c>
      <c r="C8">
        <v>80</v>
      </c>
      <c r="D8">
        <v>112</v>
      </c>
      <c r="E8">
        <v>96</v>
      </c>
      <c r="F8" s="5">
        <f t="shared" si="2"/>
        <v>96</v>
      </c>
      <c r="G8" s="5">
        <f t="shared" si="0"/>
        <v>5.333333333333333</v>
      </c>
      <c r="H8" s="5">
        <f t="shared" si="1"/>
        <v>28.444444444444443</v>
      </c>
    </row>
    <row r="9" spans="1:8" x14ac:dyDescent="0.35">
      <c r="A9" s="4">
        <v>45810</v>
      </c>
      <c r="B9" t="s">
        <v>129</v>
      </c>
      <c r="C9">
        <v>40</v>
      </c>
      <c r="D9">
        <v>56</v>
      </c>
      <c r="E9">
        <v>48</v>
      </c>
      <c r="F9" s="5">
        <f t="shared" si="2"/>
        <v>48</v>
      </c>
      <c r="G9" s="5">
        <f t="shared" si="0"/>
        <v>2.6666666666666665</v>
      </c>
      <c r="H9" s="5">
        <f t="shared" si="1"/>
        <v>7.1111111111111107</v>
      </c>
    </row>
    <row r="10" spans="1:8" x14ac:dyDescent="0.35">
      <c r="A10" s="4">
        <v>45840</v>
      </c>
      <c r="B10" t="s">
        <v>130</v>
      </c>
      <c r="C10">
        <v>16</v>
      </c>
      <c r="D10">
        <v>24</v>
      </c>
      <c r="E10">
        <v>20</v>
      </c>
      <c r="F10" s="5">
        <f t="shared" si="2"/>
        <v>20</v>
      </c>
      <c r="G10" s="5">
        <f t="shared" si="0"/>
        <v>1.3333333333333333</v>
      </c>
      <c r="H10" s="5">
        <f t="shared" si="1"/>
        <v>1.7777777777777777</v>
      </c>
    </row>
    <row r="11" spans="1:8" x14ac:dyDescent="0.35">
      <c r="A11" s="4">
        <v>45660</v>
      </c>
      <c r="B11" t="s">
        <v>10</v>
      </c>
      <c r="C11">
        <v>6</v>
      </c>
      <c r="D11">
        <v>10</v>
      </c>
      <c r="E11">
        <v>8</v>
      </c>
      <c r="F11" s="5">
        <f t="shared" si="2"/>
        <v>8</v>
      </c>
      <c r="G11" s="5">
        <f t="shared" si="0"/>
        <v>0.66666666666666663</v>
      </c>
      <c r="H11" s="5">
        <f t="shared" si="1"/>
        <v>0.44444444444444442</v>
      </c>
    </row>
    <row r="12" spans="1:8" x14ac:dyDescent="0.35">
      <c r="A12" s="4">
        <v>45691</v>
      </c>
      <c r="B12" t="s">
        <v>131</v>
      </c>
      <c r="C12">
        <v>40</v>
      </c>
      <c r="D12">
        <v>56</v>
      </c>
      <c r="E12">
        <v>48</v>
      </c>
      <c r="F12" s="5">
        <f t="shared" si="2"/>
        <v>48</v>
      </c>
      <c r="G12" s="5">
        <f t="shared" si="0"/>
        <v>2.6666666666666665</v>
      </c>
      <c r="H12" s="5">
        <f t="shared" si="1"/>
        <v>7.1111111111111107</v>
      </c>
    </row>
    <row r="13" spans="1:8" x14ac:dyDescent="0.35">
      <c r="A13" s="4">
        <v>45719</v>
      </c>
      <c r="B13" t="s">
        <v>132</v>
      </c>
      <c r="C13">
        <v>40</v>
      </c>
      <c r="D13">
        <v>56</v>
      </c>
      <c r="E13">
        <v>48</v>
      </c>
      <c r="F13" s="5">
        <f t="shared" si="2"/>
        <v>48</v>
      </c>
      <c r="G13" s="5">
        <f t="shared" si="0"/>
        <v>2.6666666666666665</v>
      </c>
      <c r="H13" s="5">
        <f t="shared" si="1"/>
        <v>7.1111111111111107</v>
      </c>
    </row>
    <row r="14" spans="1:8" x14ac:dyDescent="0.35">
      <c r="A14" s="4">
        <v>45661</v>
      </c>
      <c r="B14" t="s">
        <v>15</v>
      </c>
      <c r="C14">
        <v>24</v>
      </c>
      <c r="D14">
        <v>40</v>
      </c>
      <c r="E14">
        <v>32</v>
      </c>
      <c r="F14" s="5">
        <f t="shared" si="2"/>
        <v>32</v>
      </c>
      <c r="G14" s="5">
        <f t="shared" si="0"/>
        <v>2.6666666666666665</v>
      </c>
      <c r="H14" s="5">
        <f t="shared" si="1"/>
        <v>7.1111111111111107</v>
      </c>
    </row>
    <row r="15" spans="1:8" x14ac:dyDescent="0.35">
      <c r="A15" s="4">
        <v>45692</v>
      </c>
      <c r="B15" t="s">
        <v>16</v>
      </c>
      <c r="C15">
        <v>40</v>
      </c>
      <c r="D15">
        <v>56</v>
      </c>
      <c r="E15">
        <v>48</v>
      </c>
      <c r="F15" s="5">
        <f t="shared" si="2"/>
        <v>48</v>
      </c>
      <c r="G15" s="5">
        <f t="shared" si="0"/>
        <v>2.6666666666666665</v>
      </c>
      <c r="H15" s="5">
        <f t="shared" si="1"/>
        <v>7.1111111111111107</v>
      </c>
    </row>
    <row r="16" spans="1:8" x14ac:dyDescent="0.35">
      <c r="A16" s="4">
        <v>45720</v>
      </c>
      <c r="B16" t="s">
        <v>17</v>
      </c>
      <c r="C16">
        <v>24</v>
      </c>
      <c r="D16">
        <v>40</v>
      </c>
      <c r="E16">
        <v>32</v>
      </c>
      <c r="F16" s="5">
        <f t="shared" si="2"/>
        <v>32</v>
      </c>
      <c r="G16" s="5">
        <f t="shared" si="0"/>
        <v>2.6666666666666665</v>
      </c>
      <c r="H16" s="5">
        <f t="shared" si="1"/>
        <v>7.1111111111111107</v>
      </c>
    </row>
    <row r="17" spans="1:8" x14ac:dyDescent="0.35">
      <c r="A17" s="4">
        <v>45662</v>
      </c>
      <c r="B17" t="s">
        <v>19</v>
      </c>
      <c r="C17">
        <v>1</v>
      </c>
      <c r="D17">
        <v>2</v>
      </c>
      <c r="E17">
        <v>1</v>
      </c>
      <c r="F17" s="5">
        <f t="shared" si="2"/>
        <v>1.1666666666666667</v>
      </c>
      <c r="G17" s="5">
        <f t="shared" si="0"/>
        <v>0.16666666666666666</v>
      </c>
      <c r="H17" s="5">
        <f t="shared" si="1"/>
        <v>2.7777777777777776E-2</v>
      </c>
    </row>
    <row r="18" spans="1:8" x14ac:dyDescent="0.35">
      <c r="A18" s="4">
        <v>45693</v>
      </c>
      <c r="B18" t="s">
        <v>20</v>
      </c>
      <c r="C18">
        <v>6</v>
      </c>
      <c r="D18">
        <v>8</v>
      </c>
      <c r="E18">
        <v>7</v>
      </c>
      <c r="F18" s="5">
        <f t="shared" si="2"/>
        <v>7</v>
      </c>
      <c r="G18" s="5">
        <f t="shared" si="0"/>
        <v>0.33333333333333331</v>
      </c>
      <c r="H18" s="5">
        <f t="shared" si="1"/>
        <v>0.1111111111111111</v>
      </c>
    </row>
    <row r="19" spans="1:8" x14ac:dyDescent="0.35">
      <c r="A19" s="4">
        <v>45721</v>
      </c>
      <c r="B19" t="s">
        <v>21</v>
      </c>
      <c r="C19">
        <v>6</v>
      </c>
      <c r="D19">
        <v>8</v>
      </c>
      <c r="E19">
        <v>7</v>
      </c>
      <c r="F19" s="5">
        <f t="shared" si="2"/>
        <v>7</v>
      </c>
      <c r="G19" s="5">
        <f t="shared" si="0"/>
        <v>0.33333333333333331</v>
      </c>
      <c r="H19" s="5">
        <f t="shared" si="1"/>
        <v>0.1111111111111111</v>
      </c>
    </row>
    <row r="20" spans="1:8" x14ac:dyDescent="0.35">
      <c r="F20" s="5">
        <f>SUM(F1:F19)</f>
        <v>477.5</v>
      </c>
      <c r="H20" s="5">
        <f>SUM(H1:H19)</f>
        <v>79.861111111111114</v>
      </c>
    </row>
    <row r="22" spans="1:8" x14ac:dyDescent="0.35">
      <c r="E22" t="s">
        <v>55</v>
      </c>
      <c r="F22" s="5">
        <f>F20+2*H20</f>
        <v>637.22222222222217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наивный метод</vt:lpstr>
      <vt:lpstr>pert метод</vt:lpstr>
      <vt:lpstr>UCP проекта</vt:lpstr>
      <vt:lpstr>UCP курсовой</vt:lpstr>
      <vt:lpstr>pert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ilya</dc:creator>
  <cp:lastModifiedBy>Стрельбицкий Илья Павлович</cp:lastModifiedBy>
  <dcterms:created xsi:type="dcterms:W3CDTF">2015-06-05T18:19:34Z</dcterms:created>
  <dcterms:modified xsi:type="dcterms:W3CDTF">2025-10-13T13:07:29Z</dcterms:modified>
</cp:coreProperties>
</file>