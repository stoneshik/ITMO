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university\semester_dumps\second_course\fourthsem\теорвер\praktik\"/>
    </mc:Choice>
  </mc:AlternateContent>
  <xr:revisionPtr revIDLastSave="0" documentId="13_ncr:1_{F3529AAB-49D5-4CC9-B484-9266EC5642AA}" xr6:coauthVersionLast="47" xr6:coauthVersionMax="47" xr10:uidLastSave="{00000000-0000-0000-0000-000000000000}"/>
  <bookViews>
    <workbookView xWindow="9600" yWindow="0" windowWidth="9600" windowHeight="10200" xr2:uid="{00000000-000D-0000-FFFF-FFFF00000000}"/>
  </bookViews>
  <sheets>
    <sheet name="пр.р. 4.3" sheetId="1" r:id="rId1"/>
    <sheet name="пр. р. 4.1" sheetId="3" r:id="rId2"/>
    <sheet name="пр.р 4" sheetId="2" r:id="rId3"/>
    <sheet name="Лист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L2" i="1"/>
  <c r="N4" i="1"/>
  <c r="M4" i="1"/>
  <c r="L4" i="1"/>
  <c r="N3" i="1"/>
  <c r="L3" i="1"/>
  <c r="N2" i="1"/>
  <c r="M2" i="1"/>
  <c r="C7" i="4"/>
  <c r="E1" i="4"/>
  <c r="D6" i="4"/>
  <c r="D15" i="4" s="1"/>
  <c r="D16" i="4" s="1"/>
  <c r="C6" i="4"/>
  <c r="C15" i="4" s="1"/>
  <c r="C17" i="4" s="1"/>
  <c r="B6" i="4"/>
  <c r="I5" i="4"/>
  <c r="H5" i="4"/>
  <c r="G5" i="4"/>
  <c r="E11" i="4"/>
  <c r="I4" i="4"/>
  <c r="H4" i="4"/>
  <c r="G4" i="4"/>
  <c r="N3" i="4"/>
  <c r="M3" i="4"/>
  <c r="L3" i="4"/>
  <c r="I3" i="4"/>
  <c r="H3" i="4"/>
  <c r="G3" i="4"/>
  <c r="E3" i="4"/>
  <c r="N2" i="4"/>
  <c r="M2" i="4"/>
  <c r="L2" i="4"/>
  <c r="I2" i="4"/>
  <c r="H2" i="4"/>
  <c r="G2" i="4"/>
  <c r="E2" i="4"/>
  <c r="B11" i="4" s="1"/>
  <c r="N2" i="2"/>
  <c r="M2" i="2"/>
  <c r="L5" i="2"/>
  <c r="L4" i="2"/>
  <c r="L3" i="2"/>
  <c r="L2" i="2"/>
  <c r="N5" i="2"/>
  <c r="N4" i="2"/>
  <c r="M3" i="2"/>
  <c r="N3" i="2"/>
  <c r="M5" i="2"/>
  <c r="M4" i="2"/>
  <c r="C7" i="2"/>
  <c r="D7" i="2" s="1"/>
  <c r="B7" i="2"/>
  <c r="F4" i="2"/>
  <c r="F3" i="2"/>
  <c r="F5" i="2"/>
  <c r="F2" i="2"/>
  <c r="B20" i="3"/>
  <c r="D6" i="3"/>
  <c r="D15" i="3" s="1"/>
  <c r="C6" i="3"/>
  <c r="C15" i="3" s="1"/>
  <c r="B6" i="3"/>
  <c r="I4" i="3"/>
  <c r="H4" i="3"/>
  <c r="G4" i="3"/>
  <c r="I3" i="3"/>
  <c r="H3" i="3"/>
  <c r="G3" i="3"/>
  <c r="E3" i="3"/>
  <c r="C11" i="3" s="1"/>
  <c r="I2" i="3"/>
  <c r="H2" i="3"/>
  <c r="G2" i="3"/>
  <c r="E2" i="3"/>
  <c r="B11" i="3" s="1"/>
  <c r="H17" i="1"/>
  <c r="G17" i="1"/>
  <c r="G16" i="1"/>
  <c r="J6" i="1"/>
  <c r="E4" i="1"/>
  <c r="D11" i="1" s="1"/>
  <c r="C15" i="2"/>
  <c r="C17" i="2" s="1"/>
  <c r="D11" i="2"/>
  <c r="D13" i="2" s="1"/>
  <c r="C11" i="2"/>
  <c r="C13" i="2" s="1"/>
  <c r="D6" i="2"/>
  <c r="D15" i="2" s="1"/>
  <c r="C6" i="2"/>
  <c r="B6" i="2"/>
  <c r="B15" i="2" s="1"/>
  <c r="I5" i="2"/>
  <c r="H5" i="2"/>
  <c r="G5" i="2"/>
  <c r="E5" i="2"/>
  <c r="E11" i="2" s="1"/>
  <c r="I4" i="2"/>
  <c r="H4" i="2"/>
  <c r="G4" i="2"/>
  <c r="E4" i="2"/>
  <c r="I3" i="2"/>
  <c r="H3" i="2"/>
  <c r="G3" i="2"/>
  <c r="E3" i="2"/>
  <c r="I2" i="2"/>
  <c r="H2" i="2"/>
  <c r="J6" i="2" s="1"/>
  <c r="G2" i="2"/>
  <c r="E2" i="2"/>
  <c r="B11" i="2" s="1"/>
  <c r="H3" i="1"/>
  <c r="H4" i="1"/>
  <c r="G4" i="1"/>
  <c r="G3" i="1"/>
  <c r="G2" i="1"/>
  <c r="I4" i="1"/>
  <c r="I3" i="1"/>
  <c r="I2" i="1"/>
  <c r="H2" i="1"/>
  <c r="D15" i="1"/>
  <c r="D16" i="1" s="1"/>
  <c r="E3" i="1"/>
  <c r="C11" i="1" s="1"/>
  <c r="E2" i="1"/>
  <c r="B11" i="1" s="1"/>
  <c r="B6" i="1"/>
  <c r="B15" i="1" s="1"/>
  <c r="C6" i="1"/>
  <c r="C15" i="1" s="1"/>
  <c r="D6" i="1"/>
  <c r="A6" i="4" l="1"/>
  <c r="B15" i="4"/>
  <c r="E15" i="4" s="1"/>
  <c r="J6" i="4"/>
  <c r="E12" i="4"/>
  <c r="E13" i="4"/>
  <c r="B12" i="4"/>
  <c r="B13" i="4"/>
  <c r="B16" i="4"/>
  <c r="C11" i="4"/>
  <c r="F11" i="4" s="1"/>
  <c r="D11" i="4"/>
  <c r="D17" i="4"/>
  <c r="B7" i="4"/>
  <c r="D7" i="4" s="1"/>
  <c r="C16" i="4"/>
  <c r="F2" i="4"/>
  <c r="F3" i="4" s="1"/>
  <c r="F4" i="4" s="1"/>
  <c r="F5" i="4" s="1"/>
  <c r="A7" i="3"/>
  <c r="J6" i="3"/>
  <c r="C16" i="3"/>
  <c r="C17" i="3"/>
  <c r="D16" i="3"/>
  <c r="D17" i="3"/>
  <c r="B13" i="3"/>
  <c r="B12" i="3"/>
  <c r="F11" i="3"/>
  <c r="C13" i="3"/>
  <c r="C12" i="3"/>
  <c r="B15" i="3"/>
  <c r="F1" i="3"/>
  <c r="C13" i="1"/>
  <c r="C12" i="1"/>
  <c r="B12" i="1"/>
  <c r="B13" i="1"/>
  <c r="D12" i="1"/>
  <c r="D13" i="1"/>
  <c r="F11" i="1"/>
  <c r="D17" i="1"/>
  <c r="C16" i="1"/>
  <c r="C17" i="1"/>
  <c r="E15" i="1"/>
  <c r="B17" i="1"/>
  <c r="B16" i="1"/>
  <c r="E12" i="2"/>
  <c r="E13" i="2"/>
  <c r="B16" i="2"/>
  <c r="E15" i="2"/>
  <c r="B17" i="2"/>
  <c r="D17" i="2"/>
  <c r="D16" i="2"/>
  <c r="F11" i="2"/>
  <c r="B13" i="2"/>
  <c r="B12" i="2"/>
  <c r="G12" i="2" s="1"/>
  <c r="C16" i="2"/>
  <c r="C12" i="2"/>
  <c r="D12" i="2"/>
  <c r="F1" i="1"/>
  <c r="A7" i="1"/>
  <c r="B17" i="4" l="1"/>
  <c r="G17" i="4"/>
  <c r="D13" i="4"/>
  <c r="D12" i="4"/>
  <c r="C12" i="4"/>
  <c r="C13" i="4"/>
  <c r="G13" i="4" s="1"/>
  <c r="G16" i="4"/>
  <c r="G12" i="3"/>
  <c r="G13" i="3"/>
  <c r="B16" i="3"/>
  <c r="G16" i="3" s="1"/>
  <c r="E15" i="3"/>
  <c r="B17" i="3"/>
  <c r="G17" i="3" s="1"/>
  <c r="G12" i="1"/>
  <c r="G13" i="1"/>
  <c r="B19" i="2"/>
  <c r="G13" i="2"/>
  <c r="H13" i="2" s="1"/>
  <c r="B20" i="2" s="1"/>
  <c r="G17" i="2"/>
  <c r="H17" i="2" s="1"/>
  <c r="G16" i="2"/>
  <c r="G12" i="4" l="1"/>
  <c r="H13" i="4" s="1"/>
  <c r="H17" i="4"/>
  <c r="H13" i="3"/>
  <c r="B19" i="3"/>
  <c r="H17" i="3"/>
  <c r="H13" i="1"/>
  <c r="B19" i="1"/>
  <c r="B19" i="4" l="1"/>
  <c r="B20" i="4"/>
  <c r="B20" i="1"/>
</calcChain>
</file>

<file path=xl/sharedStrings.xml><?xml version="1.0" encoding="utf-8"?>
<sst xmlns="http://schemas.openxmlformats.org/spreadsheetml/2006/main" count="52" uniqueCount="25">
  <si>
    <t>e/n</t>
  </si>
  <si>
    <t>e</t>
  </si>
  <si>
    <t>F1(e)</t>
  </si>
  <si>
    <t>n</t>
  </si>
  <si>
    <t>F2(n)</t>
  </si>
  <si>
    <t>MX</t>
  </si>
  <si>
    <t>M(e)</t>
  </si>
  <si>
    <t>D(e)</t>
  </si>
  <si>
    <t>D(n)</t>
  </si>
  <si>
    <t>M(n)</t>
  </si>
  <si>
    <t>M(e,n)</t>
  </si>
  <si>
    <t>D(e,n)</t>
  </si>
  <si>
    <t>cov(e,n)</t>
  </si>
  <si>
    <t>x/y</t>
  </si>
  <si>
    <t>M(x,y)</t>
  </si>
  <si>
    <t>F1(x)</t>
  </si>
  <si>
    <t>x</t>
  </si>
  <si>
    <t>M(x)</t>
  </si>
  <si>
    <t>D(x)</t>
  </si>
  <si>
    <t>y</t>
  </si>
  <si>
    <t>F2(y)</t>
  </si>
  <si>
    <t>M(y)</t>
  </si>
  <si>
    <t>D(y)</t>
  </si>
  <si>
    <t>cov(x,y)</t>
  </si>
  <si>
    <t>rxy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</si>
</sst>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topLeftCell="G1" workbookViewId="0">
      <selection activeCell="N5" sqref="N5"/>
    </sheetView>
  </sheetViews>
  <sheetFormatPr defaultRowHeight="14.5" x14ac:dyDescent="0.35"/>
  <sheetData>
    <row r="1" spans="1:14" x14ac:dyDescent="0.35">
      <c r="A1" t="s">
        <v>0</v>
      </c>
      <c r="B1">
        <v>0</v>
      </c>
      <c r="C1">
        <v>1</v>
      </c>
      <c r="D1">
        <v>2</v>
      </c>
      <c r="E1" s="1"/>
      <c r="F1">
        <f>SUM(E2:E5)</f>
        <v>0.99999999999999989</v>
      </c>
    </row>
    <row r="2" spans="1:14" x14ac:dyDescent="0.35">
      <c r="A2">
        <v>1</v>
      </c>
      <c r="B2">
        <v>0.03</v>
      </c>
      <c r="C2">
        <v>0.18</v>
      </c>
      <c r="D2">
        <v>0.09</v>
      </c>
      <c r="E2" s="1">
        <f>SUM(B2:D2)</f>
        <v>0.3</v>
      </c>
      <c r="G2">
        <f>$A2*B$1*B2</f>
        <v>0</v>
      </c>
      <c r="H2">
        <f>$A2*C$1*C2</f>
        <v>0.18</v>
      </c>
      <c r="I2">
        <f>$A2*D$1*D2</f>
        <v>0.18</v>
      </c>
      <c r="L2">
        <f>B2+K2</f>
        <v>0.03</v>
      </c>
      <c r="M2">
        <f>SUM(B2:C2)</f>
        <v>0.21</v>
      </c>
      <c r="N2">
        <f>SUM(B2:D2)</f>
        <v>0.3</v>
      </c>
    </row>
    <row r="3" spans="1:14" x14ac:dyDescent="0.35">
      <c r="A3">
        <v>2</v>
      </c>
      <c r="B3">
        <v>0.06</v>
      </c>
      <c r="C3">
        <v>0.36</v>
      </c>
      <c r="D3">
        <v>0.18</v>
      </c>
      <c r="E3" s="1">
        <f>SUM(B3:D3)</f>
        <v>0.6</v>
      </c>
      <c r="G3">
        <f>$A3*B$1*B3</f>
        <v>0</v>
      </c>
      <c r="H3">
        <f>$A3*C$1*C3</f>
        <v>0.72</v>
      </c>
      <c r="I3">
        <f>$A3*D$1*D3</f>
        <v>0.72</v>
      </c>
      <c r="L3">
        <f>SUM(B2:B3)</f>
        <v>0.09</v>
      </c>
      <c r="M3">
        <f>SUM(B2:C3)</f>
        <v>0.63</v>
      </c>
      <c r="N3">
        <f>SUM(B2:D3)</f>
        <v>0.89999999999999991</v>
      </c>
    </row>
    <row r="4" spans="1:14" x14ac:dyDescent="0.35">
      <c r="A4">
        <v>3</v>
      </c>
      <c r="B4">
        <v>0.01</v>
      </c>
      <c r="C4">
        <v>0.06</v>
      </c>
      <c r="D4">
        <v>0.03</v>
      </c>
      <c r="E4" s="1">
        <f>SUM(B4:D4)</f>
        <v>9.9999999999999992E-2</v>
      </c>
      <c r="G4">
        <f>$A4*B$1*B4</f>
        <v>0</v>
      </c>
      <c r="H4">
        <f>$A4*C$1*C4</f>
        <v>0.18</v>
      </c>
      <c r="I4">
        <f>$A4*D$1*D4</f>
        <v>0.18</v>
      </c>
      <c r="L4">
        <f>SUM(B2:B4)</f>
        <v>9.9999999999999992E-2</v>
      </c>
      <c r="M4">
        <f>SUM(B2:C4)</f>
        <v>0.7</v>
      </c>
      <c r="N4">
        <f>SUM(B2:D4)</f>
        <v>1</v>
      </c>
    </row>
    <row r="5" spans="1:14" x14ac:dyDescent="0.35">
      <c r="E5" s="1"/>
    </row>
    <row r="6" spans="1:14" x14ac:dyDescent="0.35">
      <c r="A6" s="1"/>
      <c r="B6" s="1">
        <f>SUM(B2:B5)</f>
        <v>9.9999999999999992E-2</v>
      </c>
      <c r="C6" s="1">
        <f>SUM(C2:C5)</f>
        <v>0.60000000000000009</v>
      </c>
      <c r="D6" s="1">
        <f>SUM(D2:D5)</f>
        <v>0.30000000000000004</v>
      </c>
      <c r="E6" s="1"/>
      <c r="I6" t="s">
        <v>10</v>
      </c>
      <c r="J6">
        <f>SUM(G2:I4)</f>
        <v>2.16</v>
      </c>
    </row>
    <row r="7" spans="1:14" x14ac:dyDescent="0.35">
      <c r="A7">
        <f>SUM(B6:D6)</f>
        <v>1</v>
      </c>
    </row>
    <row r="10" spans="1:14" x14ac:dyDescent="0.35">
      <c r="A10" s="1" t="s">
        <v>1</v>
      </c>
      <c r="B10" s="1">
        <v>1</v>
      </c>
      <c r="C10" s="1">
        <v>2</v>
      </c>
      <c r="D10" s="1">
        <v>3</v>
      </c>
      <c r="H10" t="s">
        <v>5</v>
      </c>
    </row>
    <row r="11" spans="1:14" x14ac:dyDescent="0.35">
      <c r="A11" t="s">
        <v>2</v>
      </c>
      <c r="B11">
        <f>E2</f>
        <v>0.3</v>
      </c>
      <c r="C11">
        <f>E3</f>
        <v>0.6</v>
      </c>
      <c r="D11">
        <f>E4</f>
        <v>9.9999999999999992E-2</v>
      </c>
      <c r="F11">
        <f>SUM(B11:E11)</f>
        <v>0.99999999999999989</v>
      </c>
    </row>
    <row r="12" spans="1:14" x14ac:dyDescent="0.35">
      <c r="A12" t="s">
        <v>6</v>
      </c>
      <c r="B12">
        <f>B10*B11</f>
        <v>0.3</v>
      </c>
      <c r="C12">
        <f t="shared" ref="C12:E12" si="0">C10*C11</f>
        <v>1.2</v>
      </c>
      <c r="D12">
        <f t="shared" si="0"/>
        <v>0.3</v>
      </c>
      <c r="G12">
        <f>SUM(B12:E12)</f>
        <v>1.8</v>
      </c>
    </row>
    <row r="13" spans="1:14" x14ac:dyDescent="0.35">
      <c r="A13" t="s">
        <v>7</v>
      </c>
      <c r="B13">
        <f>B10^2*B11</f>
        <v>0.3</v>
      </c>
      <c r="C13">
        <f>C10^2*C11</f>
        <v>2.4</v>
      </c>
      <c r="D13">
        <f t="shared" ref="C13:E13" si="1">D10^2*D11</f>
        <v>0.89999999999999991</v>
      </c>
      <c r="G13">
        <f>SUM(B13:E13)</f>
        <v>3.5999999999999996</v>
      </c>
      <c r="H13">
        <f>G13-G12^2</f>
        <v>0.35999999999999943</v>
      </c>
    </row>
    <row r="14" spans="1:14" x14ac:dyDescent="0.35">
      <c r="A14" s="1" t="s">
        <v>3</v>
      </c>
      <c r="B14" s="1">
        <v>0</v>
      </c>
      <c r="C14" s="1">
        <v>1</v>
      </c>
      <c r="D14" s="1">
        <v>2</v>
      </c>
    </row>
    <row r="15" spans="1:14" x14ac:dyDescent="0.35">
      <c r="A15" t="s">
        <v>4</v>
      </c>
      <c r="B15">
        <f>B6</f>
        <v>9.9999999999999992E-2</v>
      </c>
      <c r="C15">
        <f>C6</f>
        <v>0.60000000000000009</v>
      </c>
      <c r="D15">
        <f>D6</f>
        <v>0.30000000000000004</v>
      </c>
      <c r="E15">
        <f>SUM(B15:D15)</f>
        <v>1</v>
      </c>
    </row>
    <row r="16" spans="1:14" x14ac:dyDescent="0.35">
      <c r="A16" t="s">
        <v>9</v>
      </c>
      <c r="B16">
        <f>B14*B15</f>
        <v>0</v>
      </c>
      <c r="C16">
        <f>C14*C15</f>
        <v>0.60000000000000009</v>
      </c>
      <c r="D16">
        <f>D14*D15</f>
        <v>0.60000000000000009</v>
      </c>
      <c r="G16">
        <f>SUM(B16:D16)</f>
        <v>1.2000000000000002</v>
      </c>
    </row>
    <row r="17" spans="1:8" x14ac:dyDescent="0.35">
      <c r="A17" t="s">
        <v>8</v>
      </c>
      <c r="B17">
        <f>B14^2*B15</f>
        <v>0</v>
      </c>
      <c r="C17">
        <f>C14^2*C15</f>
        <v>0.60000000000000009</v>
      </c>
      <c r="D17">
        <f>D14^2*D15</f>
        <v>1.2000000000000002</v>
      </c>
      <c r="G17">
        <f>SUM(B17:D17)</f>
        <v>1.8000000000000003</v>
      </c>
      <c r="H17">
        <f>G17-G16^2</f>
        <v>0.35999999999999988</v>
      </c>
    </row>
    <row r="19" spans="1:8" x14ac:dyDescent="0.35">
      <c r="A19" t="s">
        <v>12</v>
      </c>
      <c r="B19">
        <f>J6-G12*G16</f>
        <v>0</v>
      </c>
    </row>
    <row r="20" spans="1:8" x14ac:dyDescent="0.35">
      <c r="A20" t="s">
        <v>11</v>
      </c>
      <c r="B20">
        <f>H13+H17+2*B19</f>
        <v>0.71999999999999931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05019-F28B-4658-BAE1-097A6AE495F9}">
  <dimension ref="A1:J20"/>
  <sheetViews>
    <sheetView workbookViewId="0">
      <selection activeCell="C20" sqref="C20"/>
    </sheetView>
  </sheetViews>
  <sheetFormatPr defaultRowHeight="14.5" x14ac:dyDescent="0.35"/>
  <sheetData>
    <row r="1" spans="1:10" x14ac:dyDescent="0.35">
      <c r="A1" t="s">
        <v>13</v>
      </c>
      <c r="B1">
        <v>3</v>
      </c>
      <c r="C1">
        <v>8</v>
      </c>
      <c r="D1">
        <v>12</v>
      </c>
      <c r="E1" s="1"/>
      <c r="F1">
        <f>SUM(E2:E5)</f>
        <v>1</v>
      </c>
    </row>
    <row r="2" spans="1:10" x14ac:dyDescent="0.35">
      <c r="A2">
        <v>5</v>
      </c>
      <c r="B2">
        <v>0.2</v>
      </c>
      <c r="C2">
        <v>0.1</v>
      </c>
      <c r="D2">
        <v>0.3</v>
      </c>
      <c r="E2" s="1">
        <f>SUM(B2:D2)</f>
        <v>0.60000000000000009</v>
      </c>
      <c r="G2">
        <f>$A2*B$1*B2</f>
        <v>3</v>
      </c>
      <c r="H2">
        <f>$A2*C$1*C2</f>
        <v>4</v>
      </c>
      <c r="I2">
        <f>$A2*D$1*D2</f>
        <v>18</v>
      </c>
    </row>
    <row r="3" spans="1:10" x14ac:dyDescent="0.35">
      <c r="A3">
        <v>8</v>
      </c>
      <c r="B3">
        <v>0.1</v>
      </c>
      <c r="C3">
        <v>0.2</v>
      </c>
      <c r="D3">
        <v>0.1</v>
      </c>
      <c r="E3" s="1">
        <f>SUM(B3:D3)</f>
        <v>0.4</v>
      </c>
      <c r="G3">
        <f>$A3*B$1*B3</f>
        <v>2.4000000000000004</v>
      </c>
      <c r="H3">
        <f>$A3*C$1*C3</f>
        <v>12.8</v>
      </c>
      <c r="I3">
        <f>$A3*D$1*D3</f>
        <v>9.6000000000000014</v>
      </c>
    </row>
    <row r="4" spans="1:10" x14ac:dyDescent="0.35">
      <c r="E4" s="1"/>
      <c r="G4">
        <f>$A4*B$1*B4</f>
        <v>0</v>
      </c>
      <c r="H4">
        <f>$A4*C$1*C4</f>
        <v>0</v>
      </c>
      <c r="I4">
        <f>$A4*D$1*D4</f>
        <v>0</v>
      </c>
    </row>
    <row r="5" spans="1:10" x14ac:dyDescent="0.35">
      <c r="E5" s="1"/>
    </row>
    <row r="6" spans="1:10" x14ac:dyDescent="0.35">
      <c r="A6" s="1"/>
      <c r="B6" s="1">
        <f>SUM(B2:B5)</f>
        <v>0.30000000000000004</v>
      </c>
      <c r="C6" s="1">
        <f>SUM(C2:C5)</f>
        <v>0.30000000000000004</v>
      </c>
      <c r="D6" s="1">
        <f>SUM(D2:D5)</f>
        <v>0.4</v>
      </c>
      <c r="E6" s="1"/>
      <c r="I6" t="s">
        <v>14</v>
      </c>
      <c r="J6">
        <f>SUM(G2:I4)</f>
        <v>49.800000000000004</v>
      </c>
    </row>
    <row r="7" spans="1:10" x14ac:dyDescent="0.35">
      <c r="A7">
        <f>SUM(B6:D6)</f>
        <v>1</v>
      </c>
    </row>
    <row r="10" spans="1:10" x14ac:dyDescent="0.35">
      <c r="A10" s="1" t="s">
        <v>16</v>
      </c>
      <c r="B10" s="1">
        <v>5</v>
      </c>
      <c r="C10" s="1">
        <v>8</v>
      </c>
      <c r="H10" t="s">
        <v>5</v>
      </c>
    </row>
    <row r="11" spans="1:10" x14ac:dyDescent="0.35">
      <c r="A11" t="s">
        <v>15</v>
      </c>
      <c r="B11">
        <f>E2</f>
        <v>0.60000000000000009</v>
      </c>
      <c r="C11">
        <f>E3</f>
        <v>0.4</v>
      </c>
      <c r="F11">
        <f>SUM(B11:E11)</f>
        <v>1</v>
      </c>
    </row>
    <row r="12" spans="1:10" x14ac:dyDescent="0.35">
      <c r="A12" t="s">
        <v>17</v>
      </c>
      <c r="B12">
        <f>B10*B11</f>
        <v>3.0000000000000004</v>
      </c>
      <c r="C12">
        <f t="shared" ref="C12:D12" si="0">C10*C11</f>
        <v>3.2</v>
      </c>
      <c r="G12">
        <f>SUM(B12:E12)</f>
        <v>6.2000000000000011</v>
      </c>
    </row>
    <row r="13" spans="1:10" x14ac:dyDescent="0.35">
      <c r="A13" t="s">
        <v>18</v>
      </c>
      <c r="B13">
        <f>B10^2*B11</f>
        <v>15.000000000000002</v>
      </c>
      <c r="C13">
        <f>C10^2*C11</f>
        <v>25.6</v>
      </c>
      <c r="G13">
        <f>SUM(B13:E13)</f>
        <v>40.6</v>
      </c>
      <c r="H13">
        <f>G13-G12^2</f>
        <v>2.1599999999999895</v>
      </c>
    </row>
    <row r="14" spans="1:10" x14ac:dyDescent="0.35">
      <c r="A14" s="1" t="s">
        <v>19</v>
      </c>
      <c r="B14" s="1">
        <v>3</v>
      </c>
      <c r="C14" s="1">
        <v>8</v>
      </c>
      <c r="D14" s="1">
        <v>12</v>
      </c>
    </row>
    <row r="15" spans="1:10" x14ac:dyDescent="0.35">
      <c r="A15" t="s">
        <v>20</v>
      </c>
      <c r="B15">
        <f>B6</f>
        <v>0.30000000000000004</v>
      </c>
      <c r="C15">
        <f>C6</f>
        <v>0.30000000000000004</v>
      </c>
      <c r="D15">
        <f>D6</f>
        <v>0.4</v>
      </c>
      <c r="E15">
        <f>SUM(B15:D15)</f>
        <v>1</v>
      </c>
    </row>
    <row r="16" spans="1:10" x14ac:dyDescent="0.35">
      <c r="A16" t="s">
        <v>21</v>
      </c>
      <c r="B16">
        <f>B14*B15</f>
        <v>0.90000000000000013</v>
      </c>
      <c r="C16">
        <f>C14*C15</f>
        <v>2.4000000000000004</v>
      </c>
      <c r="D16">
        <f>D14*D15</f>
        <v>4.8000000000000007</v>
      </c>
      <c r="G16">
        <f>SUM(B16:D16)</f>
        <v>8.1000000000000014</v>
      </c>
    </row>
    <row r="17" spans="1:8" x14ac:dyDescent="0.35">
      <c r="A17" t="s">
        <v>22</v>
      </c>
      <c r="B17">
        <f>B14^2*B15</f>
        <v>2.7</v>
      </c>
      <c r="C17">
        <f>C14^2*C15</f>
        <v>19.200000000000003</v>
      </c>
      <c r="D17">
        <f>D14^2*D15</f>
        <v>57.6</v>
      </c>
      <c r="G17">
        <f>SUM(B17:D17)</f>
        <v>79.5</v>
      </c>
      <c r="H17">
        <f>G17-G16^2</f>
        <v>13.889999999999972</v>
      </c>
    </row>
    <row r="19" spans="1:8" x14ac:dyDescent="0.35">
      <c r="A19" t="s">
        <v>23</v>
      </c>
      <c r="B19">
        <f>J6-G12*G16</f>
        <v>-0.42000000000001592</v>
      </c>
    </row>
    <row r="20" spans="1:8" x14ac:dyDescent="0.35">
      <c r="A20" t="s">
        <v>24</v>
      </c>
      <c r="B20">
        <f>B19/(SQRT(H13)*SQRT(H17))</f>
        <v>-7.66780909884269E-2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96C09-C37D-4220-8364-A13585A79BB2}">
  <dimension ref="A1:N20"/>
  <sheetViews>
    <sheetView workbookViewId="0">
      <selection activeCell="L2" sqref="L2:N5"/>
    </sheetView>
  </sheetViews>
  <sheetFormatPr defaultRowHeight="14.5" x14ac:dyDescent="0.35"/>
  <sheetData>
    <row r="1" spans="1:14" x14ac:dyDescent="0.35">
      <c r="A1" t="s">
        <v>0</v>
      </c>
      <c r="B1">
        <v>1</v>
      </c>
      <c r="C1">
        <v>2</v>
      </c>
      <c r="D1">
        <v>3</v>
      </c>
      <c r="E1" s="1"/>
    </row>
    <row r="2" spans="1:14" x14ac:dyDescent="0.35">
      <c r="A2">
        <v>0</v>
      </c>
      <c r="B2">
        <v>0.15</v>
      </c>
      <c r="C2">
        <v>0.14000000000000001</v>
      </c>
      <c r="D2">
        <v>0.02</v>
      </c>
      <c r="E2" s="1">
        <f>SUM(B2:D2)</f>
        <v>0.31000000000000005</v>
      </c>
      <c r="F2" s="2">
        <f>E2+F1</f>
        <v>0.31000000000000005</v>
      </c>
      <c r="G2">
        <f>$A2*B$1*B2</f>
        <v>0</v>
      </c>
      <c r="H2">
        <f>$A2*C$1*C2</f>
        <v>0</v>
      </c>
      <c r="I2">
        <f>$A2*D$1*D2</f>
        <v>0</v>
      </c>
      <c r="L2">
        <f>B2+K2</f>
        <v>0.15</v>
      </c>
      <c r="M2">
        <f>SUM(B2:C2)</f>
        <v>0.29000000000000004</v>
      </c>
      <c r="N2">
        <f>SUM(B2:D2)</f>
        <v>0.31000000000000005</v>
      </c>
    </row>
    <row r="3" spans="1:14" x14ac:dyDescent="0.35">
      <c r="A3">
        <v>1</v>
      </c>
      <c r="B3">
        <v>0.03</v>
      </c>
      <c r="C3">
        <v>0.02</v>
      </c>
      <c r="D3">
        <v>0.14000000000000001</v>
      </c>
      <c r="E3" s="1">
        <f>SUM(B3:D3)</f>
        <v>0.19</v>
      </c>
      <c r="F3" s="2">
        <f>E3+F2</f>
        <v>0.5</v>
      </c>
      <c r="G3">
        <f>$A3*B$1*B3</f>
        <v>0.03</v>
      </c>
      <c r="H3">
        <f>$A3*C$1*C3</f>
        <v>0.04</v>
      </c>
      <c r="I3">
        <f>$A3*D$1*D3</f>
        <v>0.42000000000000004</v>
      </c>
      <c r="L3">
        <f>SUM(B2:B3)</f>
        <v>0.18</v>
      </c>
      <c r="M3">
        <f>SUM(B2:C3)</f>
        <v>0.34000000000000008</v>
      </c>
      <c r="N3">
        <f>SUM(B2:D3)</f>
        <v>0.50000000000000011</v>
      </c>
    </row>
    <row r="4" spans="1:14" x14ac:dyDescent="0.35">
      <c r="A4">
        <v>2</v>
      </c>
      <c r="B4">
        <v>0.16</v>
      </c>
      <c r="C4">
        <v>0.15</v>
      </c>
      <c r="D4">
        <v>0.01</v>
      </c>
      <c r="E4" s="1">
        <f>SUM(B4:D4)</f>
        <v>0.32</v>
      </c>
      <c r="F4" s="2">
        <f>E4+F3</f>
        <v>0.82000000000000006</v>
      </c>
      <c r="G4">
        <f>$A4*B$1*B4</f>
        <v>0.32</v>
      </c>
      <c r="H4">
        <f>$A4*C$1*C4</f>
        <v>0.6</v>
      </c>
      <c r="I4">
        <f>$A4*D$1*D4</f>
        <v>0.06</v>
      </c>
      <c r="L4">
        <f>SUM(B2:B4)</f>
        <v>0.33999999999999997</v>
      </c>
      <c r="M4">
        <f>SUM(B2:C4)</f>
        <v>0.65000000000000013</v>
      </c>
      <c r="N4">
        <f>SUM(B2:D4)</f>
        <v>0.82000000000000017</v>
      </c>
    </row>
    <row r="5" spans="1:14" x14ac:dyDescent="0.35">
      <c r="A5">
        <v>3</v>
      </c>
      <c r="B5">
        <v>0.02</v>
      </c>
      <c r="C5">
        <v>0.11</v>
      </c>
      <c r="D5">
        <v>0.05</v>
      </c>
      <c r="E5" s="1">
        <f>SUM(B5:D5)</f>
        <v>0.18</v>
      </c>
      <c r="F5" s="2">
        <f t="shared" ref="F3:F5" si="0">E5+F4</f>
        <v>1</v>
      </c>
      <c r="G5">
        <f>$A5*B$1*B5</f>
        <v>0.06</v>
      </c>
      <c r="H5">
        <f>$A5*C$1*C5</f>
        <v>0.66</v>
      </c>
      <c r="I5">
        <f>$A5*D$1*D5</f>
        <v>0.45</v>
      </c>
      <c r="L5">
        <f>SUM(B2:B5)</f>
        <v>0.36</v>
      </c>
      <c r="M5">
        <f>SUM(B2:C5)</f>
        <v>0.78000000000000014</v>
      </c>
      <c r="N5">
        <f>SUM(B2:D5)</f>
        <v>1.0000000000000002</v>
      </c>
    </row>
    <row r="6" spans="1:14" x14ac:dyDescent="0.35">
      <c r="A6" s="1"/>
      <c r="B6" s="1">
        <f>SUM(B2:B5)</f>
        <v>0.36</v>
      </c>
      <c r="C6" s="1">
        <f>SUM(C2:C5)</f>
        <v>0.42</v>
      </c>
      <c r="D6" s="1">
        <f>SUM(D2:D5)</f>
        <v>0.22000000000000003</v>
      </c>
      <c r="E6" s="1"/>
      <c r="I6" t="s">
        <v>10</v>
      </c>
      <c r="J6">
        <f>SUM(G2:I5)</f>
        <v>2.6400000000000006</v>
      </c>
    </row>
    <row r="7" spans="1:14" x14ac:dyDescent="0.35">
      <c r="B7">
        <f>B6+A7</f>
        <v>0.36</v>
      </c>
      <c r="C7">
        <f t="shared" ref="C7:D7" si="1">C6+B7</f>
        <v>0.78</v>
      </c>
      <c r="D7">
        <f t="shared" si="1"/>
        <v>1</v>
      </c>
    </row>
    <row r="10" spans="1:14" x14ac:dyDescent="0.35">
      <c r="A10" s="1" t="s">
        <v>1</v>
      </c>
      <c r="B10" s="1">
        <v>0</v>
      </c>
      <c r="C10" s="1">
        <v>1</v>
      </c>
      <c r="D10" s="1">
        <v>2</v>
      </c>
      <c r="E10" s="1">
        <v>3</v>
      </c>
      <c r="H10" t="s">
        <v>5</v>
      </c>
    </row>
    <row r="11" spans="1:14" x14ac:dyDescent="0.35">
      <c r="A11" t="s">
        <v>2</v>
      </c>
      <c r="B11">
        <f>E2</f>
        <v>0.31000000000000005</v>
      </c>
      <c r="C11">
        <f>E3</f>
        <v>0.19</v>
      </c>
      <c r="D11">
        <f>E4</f>
        <v>0.32</v>
      </c>
      <c r="E11">
        <f>E5</f>
        <v>0.18</v>
      </c>
      <c r="F11">
        <f>SUM(B11:E11)</f>
        <v>1</v>
      </c>
    </row>
    <row r="12" spans="1:14" x14ac:dyDescent="0.35">
      <c r="A12" t="s">
        <v>6</v>
      </c>
      <c r="B12">
        <f>B10*B11</f>
        <v>0</v>
      </c>
      <c r="C12">
        <f t="shared" ref="C12:E12" si="2">C10*C11</f>
        <v>0.19</v>
      </c>
      <c r="D12">
        <f t="shared" si="2"/>
        <v>0.64</v>
      </c>
      <c r="E12">
        <f t="shared" si="2"/>
        <v>0.54</v>
      </c>
      <c r="G12">
        <f>SUM(B12:E12)</f>
        <v>1.37</v>
      </c>
    </row>
    <row r="13" spans="1:14" x14ac:dyDescent="0.35">
      <c r="A13" t="s">
        <v>7</v>
      </c>
      <c r="B13">
        <f>B10^2*B11</f>
        <v>0</v>
      </c>
      <c r="C13">
        <f>C10^2*C11</f>
        <v>0.19</v>
      </c>
      <c r="D13">
        <f t="shared" ref="D13:F13" si="3">D10^2*D11</f>
        <v>1.28</v>
      </c>
      <c r="E13">
        <f t="shared" si="3"/>
        <v>1.6199999999999999</v>
      </c>
      <c r="G13">
        <f>SUM(B13:E13)</f>
        <v>3.09</v>
      </c>
      <c r="H13">
        <f>G13-G12^2</f>
        <v>1.2130999999999996</v>
      </c>
    </row>
    <row r="14" spans="1:14" x14ac:dyDescent="0.35">
      <c r="A14" s="1" t="s">
        <v>3</v>
      </c>
      <c r="B14" s="1">
        <v>1</v>
      </c>
      <c r="C14" s="1">
        <v>2</v>
      </c>
      <c r="D14" s="1">
        <v>3</v>
      </c>
    </row>
    <row r="15" spans="1:14" x14ac:dyDescent="0.35">
      <c r="A15" t="s">
        <v>4</v>
      </c>
      <c r="B15">
        <f>B6</f>
        <v>0.36</v>
      </c>
      <c r="C15">
        <f>C6</f>
        <v>0.42</v>
      </c>
      <c r="D15">
        <f>D6</f>
        <v>0.22000000000000003</v>
      </c>
      <c r="E15">
        <f>SUM(B15:D15)</f>
        <v>1</v>
      </c>
    </row>
    <row r="16" spans="1:14" x14ac:dyDescent="0.35">
      <c r="A16" t="s">
        <v>9</v>
      </c>
      <c r="B16">
        <f>B14*B15</f>
        <v>0.36</v>
      </c>
      <c r="C16">
        <f>C14*C15</f>
        <v>0.84</v>
      </c>
      <c r="D16">
        <f>D14*D15</f>
        <v>0.66000000000000014</v>
      </c>
      <c r="G16">
        <f>SUM(B16:D16)</f>
        <v>1.86</v>
      </c>
    </row>
    <row r="17" spans="1:8" x14ac:dyDescent="0.35">
      <c r="A17" t="s">
        <v>8</v>
      </c>
      <c r="B17">
        <f>B14^2*B15</f>
        <v>0.36</v>
      </c>
      <c r="C17">
        <f>C14^2*C15</f>
        <v>1.68</v>
      </c>
      <c r="D17">
        <f>D14^2*D15</f>
        <v>1.9800000000000002</v>
      </c>
      <c r="G17">
        <f>SUM(B17:D17)</f>
        <v>4.0200000000000005</v>
      </c>
      <c r="H17">
        <f>G17-G16^2</f>
        <v>0.56040000000000001</v>
      </c>
    </row>
    <row r="19" spans="1:8" x14ac:dyDescent="0.35">
      <c r="A19" t="s">
        <v>12</v>
      </c>
      <c r="B19">
        <f>J6-G12*G16</f>
        <v>9.1800000000000104E-2</v>
      </c>
    </row>
    <row r="20" spans="1:8" x14ac:dyDescent="0.35">
      <c r="A20" t="s">
        <v>11</v>
      </c>
      <c r="B20">
        <f>H13+H17+2*B19</f>
        <v>1.9570999999999998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0C712-166E-4F54-818E-0FC4ABD4764E}">
  <dimension ref="A1:N20"/>
  <sheetViews>
    <sheetView topLeftCell="B1" workbookViewId="0">
      <selection activeCell="M8" sqref="M8"/>
    </sheetView>
  </sheetViews>
  <sheetFormatPr defaultRowHeight="14.5" x14ac:dyDescent="0.35"/>
  <sheetData>
    <row r="1" spans="1:14" x14ac:dyDescent="0.35">
      <c r="A1" t="s">
        <v>0</v>
      </c>
      <c r="B1">
        <v>-1</v>
      </c>
      <c r="C1">
        <v>0</v>
      </c>
      <c r="D1">
        <v>1</v>
      </c>
      <c r="E1" s="1">
        <f>SUM(E2:E3)</f>
        <v>1</v>
      </c>
    </row>
    <row r="2" spans="1:14" x14ac:dyDescent="0.35">
      <c r="A2">
        <v>1</v>
      </c>
      <c r="B2">
        <v>0.15</v>
      </c>
      <c r="C2">
        <v>0.3</v>
      </c>
      <c r="D2">
        <v>0.35</v>
      </c>
      <c r="E2" s="1">
        <f>SUM(B2:D2)</f>
        <v>0.79999999999999993</v>
      </c>
      <c r="F2" s="2">
        <f>E2+F1</f>
        <v>0.79999999999999993</v>
      </c>
      <c r="G2">
        <f>$A2*B$1*B2</f>
        <v>-0.15</v>
      </c>
      <c r="H2">
        <f>$A2*C$1*C2</f>
        <v>0</v>
      </c>
      <c r="I2">
        <f>$A2*D$1*D2</f>
        <v>0.35</v>
      </c>
      <c r="L2">
        <f>B2+K2</f>
        <v>0.15</v>
      </c>
      <c r="M2">
        <f>SUM(B2:C2)</f>
        <v>0.44999999999999996</v>
      </c>
      <c r="N2">
        <f>SUM(B2:D2)</f>
        <v>0.79999999999999993</v>
      </c>
    </row>
    <row r="3" spans="1:14" x14ac:dyDescent="0.35">
      <c r="A3">
        <v>2</v>
      </c>
      <c r="B3">
        <v>0.05</v>
      </c>
      <c r="C3">
        <v>0.05</v>
      </c>
      <c r="D3">
        <v>0.1</v>
      </c>
      <c r="E3" s="1">
        <f>SUM(B3:D3)</f>
        <v>0.2</v>
      </c>
      <c r="F3" s="2">
        <f>E3+F2</f>
        <v>1</v>
      </c>
      <c r="G3">
        <f>$A3*B$1*B3</f>
        <v>-0.1</v>
      </c>
      <c r="H3">
        <f>$A3*C$1*C3</f>
        <v>0</v>
      </c>
      <c r="I3">
        <f>$A3*D$1*D3</f>
        <v>0.2</v>
      </c>
      <c r="L3">
        <f>SUM(B2:B3)</f>
        <v>0.2</v>
      </c>
      <c r="M3">
        <f>SUM(B2:C3)</f>
        <v>0.54999999999999993</v>
      </c>
      <c r="N3">
        <f>SUM(B2:D3)</f>
        <v>1</v>
      </c>
    </row>
    <row r="4" spans="1:14" x14ac:dyDescent="0.35">
      <c r="F4" s="2">
        <f>E4+F3</f>
        <v>1</v>
      </c>
      <c r="G4">
        <f>$A4*B$1*B4</f>
        <v>0</v>
      </c>
      <c r="H4">
        <f>$A4*C$1*C4</f>
        <v>0</v>
      </c>
      <c r="I4">
        <f>$A4*D$1*D4</f>
        <v>0</v>
      </c>
    </row>
    <row r="5" spans="1:14" x14ac:dyDescent="0.35">
      <c r="F5" s="2">
        <f t="shared" ref="F5" si="0">E5+F4</f>
        <v>1</v>
      </c>
      <c r="G5">
        <f>$A5*B$1*B5</f>
        <v>0</v>
      </c>
      <c r="H5">
        <f>$A5*C$1*C5</f>
        <v>0</v>
      </c>
      <c r="I5">
        <f>$A5*D$1*D5</f>
        <v>0</v>
      </c>
    </row>
    <row r="6" spans="1:14" x14ac:dyDescent="0.35">
      <c r="A6" s="1">
        <f>SUM(B6:D6)</f>
        <v>1</v>
      </c>
      <c r="B6" s="1">
        <f>SUM(B2:B5)</f>
        <v>0.2</v>
      </c>
      <c r="C6" s="1">
        <f>SUM(C2:C5)</f>
        <v>0.35</v>
      </c>
      <c r="D6" s="1">
        <f>SUM(D2:D5)</f>
        <v>0.44999999999999996</v>
      </c>
      <c r="E6" s="1"/>
      <c r="I6" t="s">
        <v>10</v>
      </c>
      <c r="J6">
        <f>SUM(G2:I5)</f>
        <v>0.3</v>
      </c>
    </row>
    <row r="7" spans="1:14" x14ac:dyDescent="0.35">
      <c r="B7">
        <f>B6+A7</f>
        <v>0.2</v>
      </c>
      <c r="C7">
        <f>C6+B7</f>
        <v>0.55000000000000004</v>
      </c>
      <c r="D7">
        <f t="shared" ref="C7:D7" si="1">D6+C7</f>
        <v>1</v>
      </c>
    </row>
    <row r="10" spans="1:14" x14ac:dyDescent="0.35">
      <c r="A10" s="1" t="s">
        <v>1</v>
      </c>
      <c r="B10" s="1">
        <v>0</v>
      </c>
      <c r="C10" s="1">
        <v>1</v>
      </c>
      <c r="D10" s="1">
        <v>2</v>
      </c>
      <c r="E10" s="1">
        <v>3</v>
      </c>
      <c r="H10" t="s">
        <v>5</v>
      </c>
    </row>
    <row r="11" spans="1:14" x14ac:dyDescent="0.35">
      <c r="A11" t="s">
        <v>2</v>
      </c>
      <c r="B11">
        <f>E2</f>
        <v>0.79999999999999993</v>
      </c>
      <c r="C11">
        <f>E3</f>
        <v>0.2</v>
      </c>
      <c r="D11">
        <f>E4</f>
        <v>0</v>
      </c>
      <c r="E11">
        <f>E5</f>
        <v>0</v>
      </c>
      <c r="F11">
        <f>SUM(B11:E11)</f>
        <v>1</v>
      </c>
    </row>
    <row r="12" spans="1:14" x14ac:dyDescent="0.35">
      <c r="A12" t="s">
        <v>6</v>
      </c>
      <c r="B12">
        <f>B10*B11</f>
        <v>0</v>
      </c>
      <c r="C12">
        <f t="shared" ref="C12:E12" si="2">C10*C11</f>
        <v>0.2</v>
      </c>
      <c r="D12">
        <f t="shared" si="2"/>
        <v>0</v>
      </c>
      <c r="E12">
        <f t="shared" si="2"/>
        <v>0</v>
      </c>
      <c r="G12">
        <f>SUM(B12:E12)</f>
        <v>0.2</v>
      </c>
    </row>
    <row r="13" spans="1:14" x14ac:dyDescent="0.35">
      <c r="A13" t="s">
        <v>7</v>
      </c>
      <c r="B13">
        <f>B10^2*B11</f>
        <v>0</v>
      </c>
      <c r="C13">
        <f>C10^2*C11</f>
        <v>0.2</v>
      </c>
      <c r="D13">
        <f t="shared" ref="D13:F13" si="3">D10^2*D11</f>
        <v>0</v>
      </c>
      <c r="E13">
        <f t="shared" si="3"/>
        <v>0</v>
      </c>
      <c r="G13">
        <f>SUM(B13:E13)</f>
        <v>0.2</v>
      </c>
      <c r="H13">
        <f>G13-G12^2</f>
        <v>0.16</v>
      </c>
    </row>
    <row r="14" spans="1:14" x14ac:dyDescent="0.35">
      <c r="A14" s="1" t="s">
        <v>3</v>
      </c>
      <c r="B14" s="1">
        <v>1</v>
      </c>
      <c r="C14" s="1">
        <v>2</v>
      </c>
      <c r="D14" s="1">
        <v>3</v>
      </c>
    </row>
    <row r="15" spans="1:14" x14ac:dyDescent="0.35">
      <c r="A15" t="s">
        <v>4</v>
      </c>
      <c r="B15">
        <f>B6</f>
        <v>0.2</v>
      </c>
      <c r="C15">
        <f>C6</f>
        <v>0.35</v>
      </c>
      <c r="D15">
        <f>D6</f>
        <v>0.44999999999999996</v>
      </c>
      <c r="E15">
        <f>SUM(B15:D15)</f>
        <v>1</v>
      </c>
    </row>
    <row r="16" spans="1:14" x14ac:dyDescent="0.35">
      <c r="A16" t="s">
        <v>9</v>
      </c>
      <c r="B16">
        <f>B14*B15</f>
        <v>0.2</v>
      </c>
      <c r="C16">
        <f>C14*C15</f>
        <v>0.7</v>
      </c>
      <c r="D16">
        <f>D14*D15</f>
        <v>1.3499999999999999</v>
      </c>
      <c r="G16">
        <f>SUM(B16:D16)</f>
        <v>2.25</v>
      </c>
    </row>
    <row r="17" spans="1:8" x14ac:dyDescent="0.35">
      <c r="A17" t="s">
        <v>8</v>
      </c>
      <c r="B17">
        <f>B14^2*B15</f>
        <v>0.2</v>
      </c>
      <c r="C17">
        <f>C14^2*C15</f>
        <v>1.4</v>
      </c>
      <c r="D17">
        <f>D14^2*D15</f>
        <v>4.05</v>
      </c>
      <c r="G17">
        <f>SUM(B17:D17)</f>
        <v>5.6499999999999995</v>
      </c>
      <c r="H17">
        <f>G17-G16^2</f>
        <v>0.58749999999999947</v>
      </c>
    </row>
    <row r="19" spans="1:8" x14ac:dyDescent="0.35">
      <c r="A19" t="s">
        <v>12</v>
      </c>
      <c r="B19">
        <f>J6-G12*G16</f>
        <v>-0.15000000000000002</v>
      </c>
    </row>
    <row r="20" spans="1:8" x14ac:dyDescent="0.35">
      <c r="A20" t="s">
        <v>11</v>
      </c>
      <c r="B20">
        <f>H13+H17+2*B19</f>
        <v>0.44749999999999945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пр.р. 4.3</vt:lpstr>
      <vt:lpstr>пр. р. 4.1</vt:lpstr>
      <vt:lpstr>пр.р 4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</dc:creator>
  <cp:lastModifiedBy>Стрельбицкий Илья Павлович</cp:lastModifiedBy>
  <dcterms:created xsi:type="dcterms:W3CDTF">2015-06-05T18:19:34Z</dcterms:created>
  <dcterms:modified xsi:type="dcterms:W3CDTF">2023-09-21T15:34:21Z</dcterms:modified>
</cp:coreProperties>
</file>