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теорвер\дз\дз2\"/>
    </mc:Choice>
  </mc:AlternateContent>
  <xr:revisionPtr revIDLastSave="0" documentId="13_ncr:1_{7B8BB3D9-E06F-4307-90A8-9B089D0586DA}" xr6:coauthVersionLast="47" xr6:coauthVersionMax="47" xr10:uidLastSave="{00000000-0000-0000-0000-000000000000}"/>
  <bookViews>
    <workbookView xWindow="9600" yWindow="0" windowWidth="9600" windowHeight="10200" activeTab="4" xr2:uid="{D7E5F5FC-A8CA-42D0-8F27-49EF10DCB46E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2" i="5"/>
  <c r="O6" i="4"/>
  <c r="N6" i="4"/>
  <c r="M6" i="4"/>
  <c r="L5" i="4"/>
  <c r="L4" i="4"/>
  <c r="L3" i="4"/>
  <c r="K10" i="4"/>
  <c r="K11" i="4"/>
  <c r="J12" i="4"/>
  <c r="K13" i="4"/>
  <c r="J13" i="4"/>
  <c r="H12" i="4"/>
  <c r="H13" i="4"/>
  <c r="G13" i="4"/>
  <c r="F13" i="4"/>
  <c r="E13" i="4"/>
  <c r="D13" i="4"/>
  <c r="I13" i="4"/>
  <c r="C13" i="4"/>
  <c r="E10" i="4"/>
  <c r="D10" i="4"/>
  <c r="C10" i="4"/>
  <c r="F11" i="4"/>
  <c r="E11" i="4"/>
  <c r="E12" i="4"/>
  <c r="C12" i="4"/>
  <c r="M4" i="4"/>
  <c r="O4" i="4"/>
  <c r="M5" i="4"/>
  <c r="O5" i="4" s="1"/>
  <c r="M7" i="4"/>
  <c r="M8" i="4"/>
  <c r="M3" i="4"/>
  <c r="O3" i="4" s="1"/>
  <c r="O8" i="4"/>
  <c r="L7" i="4"/>
  <c r="K3" i="4"/>
  <c r="N3" i="4" s="1"/>
  <c r="N9" i="4" s="1"/>
  <c r="O7" i="4"/>
  <c r="N4" i="4"/>
  <c r="N5" i="4"/>
  <c r="N7" i="4"/>
  <c r="N8" i="4"/>
  <c r="D12" i="4"/>
  <c r="K12" i="4"/>
  <c r="F12" i="4"/>
  <c r="G12" i="4"/>
  <c r="I12" i="4"/>
  <c r="C11" i="4"/>
  <c r="D11" i="4"/>
  <c r="J11" i="4"/>
  <c r="G11" i="4"/>
  <c r="H11" i="4"/>
  <c r="I11" i="4"/>
  <c r="L6" i="4"/>
  <c r="L8" i="4"/>
  <c r="F10" i="4"/>
  <c r="G10" i="4"/>
  <c r="H10" i="4"/>
  <c r="I10" i="4"/>
  <c r="J10" i="4"/>
  <c r="K9" i="4"/>
  <c r="K4" i="4"/>
  <c r="K5" i="4"/>
  <c r="K6" i="4"/>
  <c r="K7" i="4"/>
  <c r="K8" i="4"/>
  <c r="J9" i="4"/>
  <c r="D9" i="4"/>
  <c r="E9" i="4"/>
  <c r="F9" i="4"/>
  <c r="G9" i="4"/>
  <c r="H9" i="4"/>
  <c r="I9" i="4"/>
  <c r="C9" i="4"/>
  <c r="E10" i="3"/>
  <c r="C14" i="3"/>
  <c r="H4" i="3"/>
  <c r="H5" i="3"/>
  <c r="H9" i="3"/>
  <c r="H10" i="3"/>
  <c r="E6" i="3"/>
  <c r="F6" i="3" s="1"/>
  <c r="D3" i="3"/>
  <c r="E3" i="3" s="1"/>
  <c r="F3" i="3" s="1"/>
  <c r="D4" i="3"/>
  <c r="E4" i="3" s="1"/>
  <c r="F4" i="3" s="1"/>
  <c r="D5" i="3"/>
  <c r="E5" i="3" s="1"/>
  <c r="F5" i="3" s="1"/>
  <c r="D6" i="3"/>
  <c r="D7" i="3"/>
  <c r="E7" i="3" s="1"/>
  <c r="F7" i="3" s="1"/>
  <c r="D8" i="3"/>
  <c r="E8" i="3" s="1"/>
  <c r="F8" i="3" s="1"/>
  <c r="D9" i="3"/>
  <c r="E9" i="3" s="1"/>
  <c r="F9" i="3" s="1"/>
  <c r="D10" i="3"/>
  <c r="F10" i="3" s="1"/>
  <c r="D2" i="3"/>
  <c r="E2" i="3" s="1"/>
  <c r="F2" i="3" s="1"/>
  <c r="G3" i="3"/>
  <c r="H3" i="3" s="1"/>
  <c r="G4" i="3"/>
  <c r="G5" i="3"/>
  <c r="G6" i="3"/>
  <c r="H6" i="3" s="1"/>
  <c r="G7" i="3"/>
  <c r="H7" i="3" s="1"/>
  <c r="G8" i="3"/>
  <c r="H8" i="3" s="1"/>
  <c r="G9" i="3"/>
  <c r="G10" i="3"/>
  <c r="G2" i="3"/>
  <c r="H2" i="3" s="1"/>
  <c r="C11" i="3"/>
  <c r="B11" i="3"/>
  <c r="C3" i="3"/>
  <c r="C4" i="3"/>
  <c r="C5" i="3"/>
  <c r="C6" i="3"/>
  <c r="C7" i="3"/>
  <c r="C8" i="3"/>
  <c r="C9" i="3"/>
  <c r="C10" i="3"/>
  <c r="C2" i="3"/>
  <c r="F11" i="2"/>
  <c r="E11" i="2"/>
  <c r="C4" i="2"/>
  <c r="E4" i="2" s="1"/>
  <c r="F4" i="2" s="1"/>
  <c r="C5" i="2"/>
  <c r="E5" i="2" s="1"/>
  <c r="F5" i="2" s="1"/>
  <c r="C6" i="2"/>
  <c r="E6" i="2" s="1"/>
  <c r="F6" i="2" s="1"/>
  <c r="C7" i="2"/>
  <c r="E7" i="2" s="1"/>
  <c r="F7" i="2" s="1"/>
  <c r="C8" i="2"/>
  <c r="E8" i="2" s="1"/>
  <c r="F8" i="2" s="1"/>
  <c r="C9" i="2"/>
  <c r="E9" i="2" s="1"/>
  <c r="F9" i="2" s="1"/>
  <c r="C10" i="2"/>
  <c r="E10" i="2" s="1"/>
  <c r="F10" i="2" s="1"/>
  <c r="C3" i="2"/>
  <c r="E3" i="2" s="1"/>
  <c r="F3" i="2" s="1"/>
  <c r="E2" i="2"/>
  <c r="F2" i="2" s="1"/>
  <c r="A3" i="2"/>
  <c r="B3" i="2"/>
  <c r="A4" i="2"/>
  <c r="B4" i="2"/>
  <c r="A5" i="2"/>
  <c r="B5" i="2"/>
  <c r="A6" i="2"/>
  <c r="B6" i="2"/>
  <c r="A7" i="2"/>
  <c r="B7" i="2"/>
  <c r="A8" i="2"/>
  <c r="B8" i="2"/>
  <c r="A9" i="2"/>
  <c r="B9" i="2"/>
  <c r="A10" i="2"/>
  <c r="B10" i="2"/>
  <c r="B2" i="2"/>
  <c r="A2" i="2"/>
  <c r="F1" i="1"/>
  <c r="F2" i="1"/>
  <c r="F3" i="1"/>
  <c r="F4" i="1"/>
  <c r="F5" i="1"/>
  <c r="F6" i="1"/>
  <c r="F7" i="1"/>
  <c r="F8" i="1"/>
  <c r="E3" i="1"/>
  <c r="E4" i="1"/>
  <c r="E5" i="1"/>
  <c r="E6" i="1"/>
  <c r="E7" i="1"/>
  <c r="E8" i="1"/>
  <c r="E9" i="1"/>
  <c r="E2" i="1"/>
  <c r="C3" i="1"/>
  <c r="C4" i="1"/>
  <c r="C5" i="1"/>
  <c r="C6" i="1"/>
  <c r="C7" i="1"/>
  <c r="C8" i="1"/>
  <c r="C9" i="1"/>
  <c r="C2" i="1"/>
  <c r="D2" i="1"/>
  <c r="D3" i="1"/>
  <c r="D4" i="1"/>
  <c r="D5" i="1"/>
  <c r="D6" i="1"/>
  <c r="D7" i="1"/>
  <c r="D8" i="1"/>
  <c r="D1" i="1"/>
  <c r="M9" i="4" l="1"/>
  <c r="L9" i="4"/>
  <c r="O9" i="4"/>
  <c r="H11" i="3"/>
  <c r="F11" i="3"/>
</calcChain>
</file>

<file path=xl/sharedStrings.xml><?xml version="1.0" encoding="utf-8"?>
<sst xmlns="http://schemas.openxmlformats.org/spreadsheetml/2006/main" count="31" uniqueCount="29">
  <si>
    <t>sigma</t>
  </si>
  <si>
    <t>zi</t>
  </si>
  <si>
    <t>zi+1</t>
  </si>
  <si>
    <t>Ф(zi)</t>
  </si>
  <si>
    <t>Ф(zi+1)</t>
  </si>
  <si>
    <t>Pi</t>
  </si>
  <si>
    <t>ni</t>
  </si>
  <si>
    <t>i</t>
  </si>
  <si>
    <t>ni'</t>
  </si>
  <si>
    <t>ni-ni'</t>
  </si>
  <si>
    <t>(ni-ni')^2</t>
  </si>
  <si>
    <t>(ni-ni')^2/ni'</t>
  </si>
  <si>
    <t>ni^2</t>
  </si>
  <si>
    <t>ni^2/ni'</t>
  </si>
  <si>
    <t>Контроль</t>
  </si>
  <si>
    <t>j</t>
  </si>
  <si>
    <t>x/y</t>
  </si>
  <si>
    <t>myi</t>
  </si>
  <si>
    <t>myiyi</t>
  </si>
  <si>
    <t>mxi</t>
  </si>
  <si>
    <t>mxixi</t>
  </si>
  <si>
    <t>xi^2mxi</t>
  </si>
  <si>
    <t>sum(myiyi)</t>
  </si>
  <si>
    <t>xisum(miyi)</t>
  </si>
  <si>
    <t>sum(mijxi)</t>
  </si>
  <si>
    <t>yj^2mij</t>
  </si>
  <si>
    <t>yjsum(mijxj)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</si>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</sst>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6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88F0-3ED4-4B61-A610-ABC974BDF2DC}">
  <dimension ref="A1:F13"/>
  <sheetViews>
    <sheetView workbookViewId="0">
      <selection activeCell="C7" sqref="C7"/>
    </sheetView>
  </sheetViews>
  <sheetFormatPr defaultRowHeight="14.5" x14ac:dyDescent="0.35"/>
  <sheetData>
    <row r="1" spans="1:6" x14ac:dyDescent="0.35">
      <c r="A1">
        <v>25</v>
      </c>
      <c r="B1">
        <v>50</v>
      </c>
      <c r="D1">
        <f>B1-$A$12</f>
        <v>-90.52000000000001</v>
      </c>
      <c r="E1" s="1"/>
      <c r="F1" s="1">
        <f>D1/$B$13</f>
        <v>-1.4592703648175913</v>
      </c>
    </row>
    <row r="2" spans="1:6" x14ac:dyDescent="0.35">
      <c r="A2">
        <v>50</v>
      </c>
      <c r="B2">
        <v>75</v>
      </c>
      <c r="C2">
        <f>A2-$A$12</f>
        <v>-90.52000000000001</v>
      </c>
      <c r="D2">
        <f t="shared" ref="D2:D8" si="0">B2-$A$12</f>
        <v>-65.52000000000001</v>
      </c>
      <c r="E2" s="1">
        <f>C2/$B$13</f>
        <v>-1.4592703648175913</v>
      </c>
      <c r="F2" s="1">
        <f>D2/$B$13</f>
        <v>-1.0562460705131307</v>
      </c>
    </row>
    <row r="3" spans="1:6" x14ac:dyDescent="0.35">
      <c r="A3">
        <v>75</v>
      </c>
      <c r="B3">
        <v>100</v>
      </c>
      <c r="C3">
        <f t="shared" ref="C3:C9" si="1">A3-$A$12</f>
        <v>-65.52000000000001</v>
      </c>
      <c r="D3">
        <f t="shared" si="0"/>
        <v>-40.52000000000001</v>
      </c>
      <c r="E3" s="1">
        <f t="shared" ref="E3:F9" si="2">C3/$B$13</f>
        <v>-1.0562460705131307</v>
      </c>
      <c r="F3" s="1">
        <f t="shared" si="2"/>
        <v>-0.65322177620867006</v>
      </c>
    </row>
    <row r="4" spans="1:6" x14ac:dyDescent="0.35">
      <c r="A4">
        <v>100</v>
      </c>
      <c r="B4">
        <v>125</v>
      </c>
      <c r="C4">
        <f t="shared" si="1"/>
        <v>-40.52000000000001</v>
      </c>
      <c r="D4">
        <f t="shared" si="0"/>
        <v>-15.52000000000001</v>
      </c>
      <c r="E4" s="1">
        <f t="shared" si="2"/>
        <v>-0.65322177620867006</v>
      </c>
      <c r="F4" s="1">
        <f t="shared" si="2"/>
        <v>-0.25019748190420937</v>
      </c>
    </row>
    <row r="5" spans="1:6" x14ac:dyDescent="0.35">
      <c r="A5">
        <v>125</v>
      </c>
      <c r="B5">
        <v>150</v>
      </c>
      <c r="C5">
        <f t="shared" si="1"/>
        <v>-15.52000000000001</v>
      </c>
      <c r="D5">
        <f t="shared" si="0"/>
        <v>9.4799999999999898</v>
      </c>
      <c r="E5" s="1">
        <f t="shared" si="2"/>
        <v>-0.25019748190420937</v>
      </c>
      <c r="F5" s="1">
        <f t="shared" si="2"/>
        <v>0.15282681240025134</v>
      </c>
    </row>
    <row r="6" spans="1:6" x14ac:dyDescent="0.35">
      <c r="A6">
        <v>150</v>
      </c>
      <c r="B6">
        <v>175</v>
      </c>
      <c r="C6">
        <f t="shared" si="1"/>
        <v>9.4799999999999898</v>
      </c>
      <c r="D6">
        <f t="shared" si="0"/>
        <v>34.47999999999999</v>
      </c>
      <c r="E6" s="1">
        <f t="shared" si="2"/>
        <v>0.15282681240025134</v>
      </c>
      <c r="F6" s="1">
        <f t="shared" si="2"/>
        <v>0.55585110670471205</v>
      </c>
    </row>
    <row r="7" spans="1:6" x14ac:dyDescent="0.35">
      <c r="A7">
        <v>175</v>
      </c>
      <c r="B7">
        <v>200</v>
      </c>
      <c r="C7">
        <f t="shared" si="1"/>
        <v>34.47999999999999</v>
      </c>
      <c r="D7">
        <f t="shared" si="0"/>
        <v>59.47999999999999</v>
      </c>
      <c r="E7" s="1">
        <f t="shared" si="2"/>
        <v>0.55585110670471205</v>
      </c>
      <c r="F7" s="1">
        <f t="shared" si="2"/>
        <v>0.95887540100917268</v>
      </c>
    </row>
    <row r="8" spans="1:6" x14ac:dyDescent="0.35">
      <c r="A8">
        <v>200</v>
      </c>
      <c r="B8">
        <v>225</v>
      </c>
      <c r="C8">
        <f t="shared" si="1"/>
        <v>59.47999999999999</v>
      </c>
      <c r="D8">
        <f t="shared" si="0"/>
        <v>84.47999999999999</v>
      </c>
      <c r="E8" s="1">
        <f t="shared" si="2"/>
        <v>0.95887540100917268</v>
      </c>
      <c r="F8" s="1">
        <f t="shared" si="2"/>
        <v>1.3618996953136333</v>
      </c>
    </row>
    <row r="9" spans="1:6" x14ac:dyDescent="0.35">
      <c r="A9">
        <v>225</v>
      </c>
      <c r="B9">
        <v>250</v>
      </c>
      <c r="C9">
        <f t="shared" si="1"/>
        <v>84.47999999999999</v>
      </c>
      <c r="E9" s="1">
        <f t="shared" si="2"/>
        <v>1.3618996953136333</v>
      </c>
      <c r="F9" s="1"/>
    </row>
    <row r="12" spans="1:6" x14ac:dyDescent="0.35">
      <c r="A12">
        <v>140.52000000000001</v>
      </c>
    </row>
    <row r="13" spans="1:6" x14ac:dyDescent="0.35">
      <c r="A13" t="s">
        <v>0</v>
      </c>
      <c r="B13">
        <v>62.030999999999999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6BFC-FE8A-46EF-956C-1950CB180D33}">
  <dimension ref="A1:F11"/>
  <sheetViews>
    <sheetView zoomScale="148" workbookViewId="0">
      <selection activeCell="D13" sqref="D13"/>
    </sheetView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5">
      <c r="A2" s="1">
        <f>Лист1!E1</f>
        <v>0</v>
      </c>
      <c r="B2" s="1">
        <f>Лист1!F1</f>
        <v>-1.4592703648175913</v>
      </c>
      <c r="C2">
        <v>-0.5</v>
      </c>
      <c r="D2">
        <v>-0.4279</v>
      </c>
      <c r="E2">
        <f>D2-C2</f>
        <v>7.2099999999999997E-2</v>
      </c>
      <c r="F2" s="1">
        <f>100*E2</f>
        <v>7.21</v>
      </c>
    </row>
    <row r="3" spans="1:6" x14ac:dyDescent="0.35">
      <c r="A3" s="1">
        <f>Лист1!E2</f>
        <v>-1.4592703648175913</v>
      </c>
      <c r="B3" s="1">
        <f>Лист1!F2</f>
        <v>-1.0562460705131307</v>
      </c>
      <c r="C3">
        <f>D2</f>
        <v>-0.4279</v>
      </c>
      <c r="D3">
        <v>-0.3553</v>
      </c>
      <c r="E3">
        <f t="shared" ref="E3:E10" si="0">D3-C3</f>
        <v>7.2599999999999998E-2</v>
      </c>
      <c r="F3" s="1">
        <f t="shared" ref="F3:F11" si="1">100*E3</f>
        <v>7.26</v>
      </c>
    </row>
    <row r="4" spans="1:6" x14ac:dyDescent="0.35">
      <c r="A4" s="1">
        <f>Лист1!E3</f>
        <v>-1.0562460705131307</v>
      </c>
      <c r="B4" s="1">
        <f>Лист1!F3</f>
        <v>-0.65322177620867006</v>
      </c>
      <c r="C4">
        <f t="shared" ref="C4:C10" si="2">D3</f>
        <v>-0.3553</v>
      </c>
      <c r="D4">
        <v>-0.2422</v>
      </c>
      <c r="E4">
        <f t="shared" si="0"/>
        <v>0.11310000000000001</v>
      </c>
      <c r="F4" s="1">
        <f t="shared" si="1"/>
        <v>11.31</v>
      </c>
    </row>
    <row r="5" spans="1:6" x14ac:dyDescent="0.35">
      <c r="A5" s="1">
        <f>Лист1!E4</f>
        <v>-0.65322177620867006</v>
      </c>
      <c r="B5" s="1">
        <f>Лист1!F4</f>
        <v>-0.25019748190420937</v>
      </c>
      <c r="C5">
        <f t="shared" si="2"/>
        <v>-0.2422</v>
      </c>
      <c r="D5">
        <v>-9.8699999999999996E-2</v>
      </c>
      <c r="E5">
        <f t="shared" si="0"/>
        <v>0.14350000000000002</v>
      </c>
      <c r="F5" s="1">
        <f t="shared" si="1"/>
        <v>14.350000000000001</v>
      </c>
    </row>
    <row r="6" spans="1:6" x14ac:dyDescent="0.35">
      <c r="A6" s="1">
        <f>Лист1!E5</f>
        <v>-0.25019748190420937</v>
      </c>
      <c r="B6" s="1">
        <f>Лист1!F5</f>
        <v>0.15282681240025134</v>
      </c>
      <c r="C6">
        <f t="shared" si="2"/>
        <v>-9.8699999999999996E-2</v>
      </c>
      <c r="D6">
        <v>5.96E-2</v>
      </c>
      <c r="E6">
        <f t="shared" si="0"/>
        <v>0.1583</v>
      </c>
      <c r="F6" s="1">
        <f t="shared" si="1"/>
        <v>15.83</v>
      </c>
    </row>
    <row r="7" spans="1:6" x14ac:dyDescent="0.35">
      <c r="A7" s="1">
        <f>Лист1!E6</f>
        <v>0.15282681240025134</v>
      </c>
      <c r="B7" s="1">
        <f>Лист1!F6</f>
        <v>0.55585110670471205</v>
      </c>
      <c r="C7">
        <f t="shared" si="2"/>
        <v>5.96E-2</v>
      </c>
      <c r="D7">
        <v>0.21229999999999999</v>
      </c>
      <c r="E7">
        <f t="shared" si="0"/>
        <v>0.1527</v>
      </c>
      <c r="F7" s="1">
        <f t="shared" si="1"/>
        <v>15.27</v>
      </c>
    </row>
    <row r="8" spans="1:6" x14ac:dyDescent="0.35">
      <c r="A8" s="1">
        <f>Лист1!E7</f>
        <v>0.55585110670471205</v>
      </c>
      <c r="B8" s="1">
        <f>Лист1!F7</f>
        <v>0.95887540100917268</v>
      </c>
      <c r="C8">
        <f t="shared" si="2"/>
        <v>0.21229999999999999</v>
      </c>
      <c r="D8">
        <v>0.33150000000000002</v>
      </c>
      <c r="E8">
        <f t="shared" si="0"/>
        <v>0.11920000000000003</v>
      </c>
      <c r="F8" s="1">
        <f t="shared" si="1"/>
        <v>11.920000000000003</v>
      </c>
    </row>
    <row r="9" spans="1:6" x14ac:dyDescent="0.35">
      <c r="A9" s="1">
        <f>Лист1!E8</f>
        <v>0.95887540100917268</v>
      </c>
      <c r="B9" s="1">
        <f>Лист1!F8</f>
        <v>1.3618996953136333</v>
      </c>
      <c r="C9">
        <f t="shared" si="2"/>
        <v>0.33150000000000002</v>
      </c>
      <c r="D9">
        <v>0.41310000000000002</v>
      </c>
      <c r="E9">
        <f t="shared" si="0"/>
        <v>8.1600000000000006E-2</v>
      </c>
      <c r="F9" s="1">
        <f t="shared" si="1"/>
        <v>8.16</v>
      </c>
    </row>
    <row r="10" spans="1:6" x14ac:dyDescent="0.35">
      <c r="A10" s="1">
        <f>Лист1!E9</f>
        <v>1.3618996953136333</v>
      </c>
      <c r="B10" s="1">
        <f>Лист1!F9</f>
        <v>0</v>
      </c>
      <c r="C10">
        <f t="shared" si="2"/>
        <v>0.41310000000000002</v>
      </c>
      <c r="D10">
        <v>0.5</v>
      </c>
      <c r="E10">
        <f t="shared" si="0"/>
        <v>8.6899999999999977E-2</v>
      </c>
      <c r="F10" s="1">
        <f t="shared" si="1"/>
        <v>8.6899999999999977</v>
      </c>
    </row>
    <row r="11" spans="1:6" x14ac:dyDescent="0.35">
      <c r="E11">
        <f>SUM(E2:E10)</f>
        <v>1</v>
      </c>
      <c r="F11">
        <f>SUM(F2:F10)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84F3-CB33-468B-9142-EB91C00C0D12}">
  <dimension ref="A1:H14"/>
  <sheetViews>
    <sheetView zoomScale="126" workbookViewId="0">
      <selection activeCell="I3" sqref="I3"/>
    </sheetView>
  </sheetViews>
  <sheetFormatPr defaultRowHeight="14.5" x14ac:dyDescent="0.35"/>
  <cols>
    <col min="6" max="6" width="10.7265625" customWidth="1"/>
  </cols>
  <sheetData>
    <row r="1" spans="1:8" x14ac:dyDescent="0.35">
      <c r="A1" t="s">
        <v>7</v>
      </c>
      <c r="B1" t="s">
        <v>6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5">
      <c r="A2">
        <v>1</v>
      </c>
      <c r="B2">
        <v>8</v>
      </c>
      <c r="C2" s="1">
        <f>Лист2!F2</f>
        <v>7.21</v>
      </c>
      <c r="D2" s="1">
        <f>B2-C2</f>
        <v>0.79</v>
      </c>
      <c r="E2" s="2">
        <f>D2^2</f>
        <v>0.6241000000000001</v>
      </c>
      <c r="F2" s="2">
        <f>E2/C2</f>
        <v>8.6560332871012502E-2</v>
      </c>
      <c r="G2">
        <f>B2^2</f>
        <v>64</v>
      </c>
      <c r="H2" s="2">
        <f>G2/C2</f>
        <v>8.8765603328710121</v>
      </c>
    </row>
    <row r="3" spans="1:8" x14ac:dyDescent="0.35">
      <c r="A3">
        <v>2</v>
      </c>
      <c r="B3">
        <v>9</v>
      </c>
      <c r="C3" s="1">
        <f>Лист2!F3</f>
        <v>7.26</v>
      </c>
      <c r="D3" s="1">
        <f t="shared" ref="D3:D10" si="0">B3-C3</f>
        <v>1.7400000000000002</v>
      </c>
      <c r="E3" s="2">
        <f t="shared" ref="E3:E10" si="1">D3^2</f>
        <v>3.027600000000001</v>
      </c>
      <c r="F3" s="2">
        <f t="shared" ref="F3:F10" si="2">E3/C3</f>
        <v>0.4170247933884299</v>
      </c>
      <c r="G3">
        <f t="shared" ref="G3:G10" si="3">B3^2</f>
        <v>81</v>
      </c>
      <c r="H3" s="2">
        <f t="shared" ref="H3:H10" si="4">G3/C3</f>
        <v>11.15702479338843</v>
      </c>
    </row>
    <row r="4" spans="1:8" x14ac:dyDescent="0.35">
      <c r="A4">
        <v>3</v>
      </c>
      <c r="B4">
        <v>12</v>
      </c>
      <c r="C4" s="1">
        <f>Лист2!F4</f>
        <v>11.31</v>
      </c>
      <c r="D4" s="1">
        <f t="shared" si="0"/>
        <v>0.6899999999999995</v>
      </c>
      <c r="E4" s="2">
        <f t="shared" si="1"/>
        <v>0.4760999999999993</v>
      </c>
      <c r="F4" s="2">
        <f t="shared" si="2"/>
        <v>4.2095490716180309E-2</v>
      </c>
      <c r="G4">
        <f t="shared" si="3"/>
        <v>144</v>
      </c>
      <c r="H4" s="2">
        <f t="shared" si="4"/>
        <v>12.73209549071618</v>
      </c>
    </row>
    <row r="5" spans="1:8" x14ac:dyDescent="0.35">
      <c r="A5">
        <v>4</v>
      </c>
      <c r="B5">
        <v>9</v>
      </c>
      <c r="C5" s="1">
        <f>Лист2!F5</f>
        <v>14.350000000000001</v>
      </c>
      <c r="D5" s="1">
        <f t="shared" si="0"/>
        <v>-5.3500000000000014</v>
      </c>
      <c r="E5" s="2">
        <f t="shared" si="1"/>
        <v>28.622500000000016</v>
      </c>
      <c r="F5" s="2">
        <f t="shared" si="2"/>
        <v>1.9945993031358895</v>
      </c>
      <c r="G5">
        <f t="shared" si="3"/>
        <v>81</v>
      </c>
      <c r="H5" s="2">
        <f t="shared" si="4"/>
        <v>5.6445993031358883</v>
      </c>
    </row>
    <row r="6" spans="1:8" x14ac:dyDescent="0.35">
      <c r="A6">
        <v>5</v>
      </c>
      <c r="B6">
        <v>16</v>
      </c>
      <c r="C6" s="1">
        <f>Лист2!F6</f>
        <v>15.83</v>
      </c>
      <c r="D6" s="1">
        <f t="shared" si="0"/>
        <v>0.16999999999999993</v>
      </c>
      <c r="E6" s="2">
        <f t="shared" si="1"/>
        <v>2.8899999999999974E-2</v>
      </c>
      <c r="F6" s="2">
        <f t="shared" si="2"/>
        <v>1.825647504737838E-3</v>
      </c>
      <c r="G6">
        <f t="shared" si="3"/>
        <v>256</v>
      </c>
      <c r="H6" s="2">
        <f t="shared" si="4"/>
        <v>16.171825647504736</v>
      </c>
    </row>
    <row r="7" spans="1:8" x14ac:dyDescent="0.35">
      <c r="A7">
        <v>6</v>
      </c>
      <c r="B7">
        <v>13</v>
      </c>
      <c r="C7" s="1">
        <f>Лист2!F7</f>
        <v>15.27</v>
      </c>
      <c r="D7" s="1">
        <f t="shared" si="0"/>
        <v>-2.2699999999999996</v>
      </c>
      <c r="E7" s="2">
        <f t="shared" si="1"/>
        <v>5.152899999999998</v>
      </c>
      <c r="F7" s="2">
        <f t="shared" si="2"/>
        <v>0.3374525212835624</v>
      </c>
      <c r="G7">
        <f t="shared" si="3"/>
        <v>169</v>
      </c>
      <c r="H7" s="2">
        <f t="shared" si="4"/>
        <v>11.067452521283563</v>
      </c>
    </row>
    <row r="8" spans="1:8" x14ac:dyDescent="0.35">
      <c r="A8">
        <v>7</v>
      </c>
      <c r="B8">
        <v>13</v>
      </c>
      <c r="C8" s="1">
        <f>Лист2!F8</f>
        <v>11.920000000000003</v>
      </c>
      <c r="D8" s="1">
        <f t="shared" si="0"/>
        <v>1.0799999999999965</v>
      </c>
      <c r="E8" s="2">
        <f t="shared" si="1"/>
        <v>1.1663999999999926</v>
      </c>
      <c r="F8" s="2">
        <f t="shared" si="2"/>
        <v>9.7852348993287944E-2</v>
      </c>
      <c r="G8">
        <f t="shared" si="3"/>
        <v>169</v>
      </c>
      <c r="H8" s="2">
        <f t="shared" si="4"/>
        <v>14.177852348993284</v>
      </c>
    </row>
    <row r="9" spans="1:8" x14ac:dyDescent="0.35">
      <c r="A9">
        <v>8</v>
      </c>
      <c r="B9">
        <v>11</v>
      </c>
      <c r="C9" s="1">
        <f>Лист2!F9</f>
        <v>8.16</v>
      </c>
      <c r="D9" s="1">
        <f t="shared" si="0"/>
        <v>2.84</v>
      </c>
      <c r="E9" s="2">
        <f t="shared" si="1"/>
        <v>8.0655999999999999</v>
      </c>
      <c r="F9" s="2">
        <f t="shared" si="2"/>
        <v>0.98843137254901958</v>
      </c>
      <c r="G9">
        <f t="shared" si="3"/>
        <v>121</v>
      </c>
      <c r="H9" s="2">
        <f t="shared" si="4"/>
        <v>14.828431372549019</v>
      </c>
    </row>
    <row r="10" spans="1:8" x14ac:dyDescent="0.35">
      <c r="A10">
        <v>9</v>
      </c>
      <c r="B10">
        <v>9</v>
      </c>
      <c r="C10" s="1">
        <f>Лист2!F10</f>
        <v>8.6899999999999977</v>
      </c>
      <c r="D10" s="1">
        <f t="shared" si="0"/>
        <v>0.31000000000000227</v>
      </c>
      <c r="E10" s="2">
        <f>D10^2</f>
        <v>9.6100000000001407E-2</v>
      </c>
      <c r="F10" s="2">
        <f t="shared" si="2"/>
        <v>1.1058688147295907E-2</v>
      </c>
      <c r="G10">
        <f t="shared" si="3"/>
        <v>81</v>
      </c>
      <c r="H10" s="2">
        <f t="shared" si="4"/>
        <v>9.3210586881472981</v>
      </c>
    </row>
    <row r="11" spans="1:8" x14ac:dyDescent="0.35">
      <c r="B11">
        <f>SUM(B2:B10)</f>
        <v>100</v>
      </c>
      <c r="C11" s="1">
        <f>SUM(C2:C10)</f>
        <v>100</v>
      </c>
      <c r="F11">
        <f>SUM(F2:F10)</f>
        <v>3.9769004985894161</v>
      </c>
      <c r="H11">
        <f t="shared" ref="G11:H11" si="5">SUM(H2:H10)</f>
        <v>103.97690049858943</v>
      </c>
    </row>
    <row r="14" spans="1:8" x14ac:dyDescent="0.35">
      <c r="B14" t="s">
        <v>14</v>
      </c>
      <c r="C14">
        <f>H11-100</f>
        <v>3.9769004985894298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CE88-A323-434D-ADAE-A47A69F309FF}">
  <dimension ref="A1:O13"/>
  <sheetViews>
    <sheetView topLeftCell="C12" zoomScale="145" zoomScaleNormal="145" workbookViewId="0">
      <selection activeCell="H15" sqref="H15"/>
    </sheetView>
  </sheetViews>
  <sheetFormatPr defaultRowHeight="14.5" x14ac:dyDescent="0.35"/>
  <cols>
    <col min="2" max="2" width="10.6328125" customWidth="1"/>
    <col min="6" max="6" width="11.26953125" customWidth="1"/>
    <col min="7" max="7" width="14.54296875" customWidth="1"/>
    <col min="11" max="11" width="9.81640625" bestFit="1" customWidth="1"/>
    <col min="13" max="13" width="10.453125" customWidth="1"/>
    <col min="15" max="15" width="10" customWidth="1"/>
  </cols>
  <sheetData>
    <row r="1" spans="1:15" x14ac:dyDescent="0.35">
      <c r="B1" t="s">
        <v>15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 s="3">
        <v>9</v>
      </c>
      <c r="L1">
        <v>10</v>
      </c>
      <c r="M1">
        <v>11</v>
      </c>
      <c r="N1">
        <v>12</v>
      </c>
      <c r="O1">
        <v>13</v>
      </c>
    </row>
    <row r="2" spans="1:15" x14ac:dyDescent="0.35">
      <c r="A2" t="s">
        <v>7</v>
      </c>
      <c r="B2" t="s">
        <v>16</v>
      </c>
      <c r="C2">
        <v>2400</v>
      </c>
      <c r="D2">
        <v>2440</v>
      </c>
      <c r="E2">
        <v>2480</v>
      </c>
      <c r="F2">
        <v>2520</v>
      </c>
      <c r="G2">
        <v>2560</v>
      </c>
      <c r="H2">
        <v>2600</v>
      </c>
      <c r="I2">
        <v>2640</v>
      </c>
      <c r="J2">
        <v>2680</v>
      </c>
      <c r="K2" s="3" t="s">
        <v>19</v>
      </c>
      <c r="L2" t="s">
        <v>20</v>
      </c>
      <c r="M2" t="s">
        <v>22</v>
      </c>
      <c r="N2" t="s">
        <v>21</v>
      </c>
      <c r="O2" t="s">
        <v>23</v>
      </c>
    </row>
    <row r="3" spans="1:15" x14ac:dyDescent="0.35">
      <c r="A3">
        <v>1</v>
      </c>
      <c r="B3">
        <v>300</v>
      </c>
      <c r="C3">
        <v>5</v>
      </c>
      <c r="D3">
        <v>4</v>
      </c>
      <c r="E3">
        <v>2</v>
      </c>
      <c r="K3" s="3">
        <f>SUM(C3:J3)</f>
        <v>11</v>
      </c>
      <c r="L3">
        <f>B3*K3</f>
        <v>3300</v>
      </c>
      <c r="M3">
        <f>$C$2*$C3+$D$2*$D3+$E$2*$E3+$F$2*$F3+$G$2*$G3+$H$2*$H3+$I$2*$I3+$J$2*$J3</f>
        <v>26720</v>
      </c>
      <c r="N3">
        <f>$B3^2*$K3</f>
        <v>990000</v>
      </c>
      <c r="O3">
        <f>$B3*$M3</f>
        <v>8016000</v>
      </c>
    </row>
    <row r="4" spans="1:15" x14ac:dyDescent="0.35">
      <c r="A4">
        <v>2</v>
      </c>
      <c r="B4">
        <v>305</v>
      </c>
      <c r="D4">
        <v>1</v>
      </c>
      <c r="E4">
        <v>3</v>
      </c>
      <c r="F4">
        <v>3</v>
      </c>
      <c r="K4" s="3">
        <f t="shared" ref="K4:K8" si="0">SUM(C4:J4)</f>
        <v>7</v>
      </c>
      <c r="L4">
        <f>B4*K4</f>
        <v>2135</v>
      </c>
      <c r="M4">
        <f>$C$2*$C4+$D$2*$D4+$E$2*$E4+$F$2*$F4+$G$2*$G4+$H$2*$H4+$I$2*$I4+$J$2*$J4</f>
        <v>17440</v>
      </c>
      <c r="N4">
        <f t="shared" ref="N4:N8" si="1">$B4^2*$K4</f>
        <v>651175</v>
      </c>
      <c r="O4">
        <f t="shared" ref="O4:O8" si="2">$B4*$M4</f>
        <v>5319200</v>
      </c>
    </row>
    <row r="5" spans="1:15" x14ac:dyDescent="0.35">
      <c r="A5">
        <v>3</v>
      </c>
      <c r="B5">
        <v>310</v>
      </c>
      <c r="E5">
        <v>7</v>
      </c>
      <c r="F5">
        <v>10</v>
      </c>
      <c r="G5">
        <v>14</v>
      </c>
      <c r="K5" s="3">
        <f t="shared" si="0"/>
        <v>31</v>
      </c>
      <c r="L5">
        <f>B5*K5</f>
        <v>9610</v>
      </c>
      <c r="M5">
        <f t="shared" ref="M4:M8" si="3">$C$2*$C5+$D$2*$D5+$E$2*$E5+$F$2*$F5+$G$2*$G5+$H$2*$H5+$I$2*$I5+$J$2*$J5</f>
        <v>78400</v>
      </c>
      <c r="N5">
        <f t="shared" si="1"/>
        <v>2979100</v>
      </c>
      <c r="O5">
        <f t="shared" si="2"/>
        <v>24304000</v>
      </c>
    </row>
    <row r="6" spans="1:15" x14ac:dyDescent="0.35">
      <c r="A6">
        <v>4</v>
      </c>
      <c r="B6">
        <v>315</v>
      </c>
      <c r="F6">
        <v>9</v>
      </c>
      <c r="G6">
        <v>6</v>
      </c>
      <c r="H6">
        <v>4</v>
      </c>
      <c r="K6" s="3">
        <f t="shared" si="0"/>
        <v>19</v>
      </c>
      <c r="L6">
        <f t="shared" ref="L4:L8" si="4">B6*K6</f>
        <v>5985</v>
      </c>
      <c r="M6">
        <f>$C$2*$C6+$D$2*$D6+$E$2*$E6+$F$2*$F6+$G$2*$G6+$H$2*$H6+$I$2*$I6+$J$2*$J6</f>
        <v>48440</v>
      </c>
      <c r="N6">
        <f>$B6^2*$K6</f>
        <v>1885275</v>
      </c>
      <c r="O6">
        <f>$B6*$M6</f>
        <v>15258600</v>
      </c>
    </row>
    <row r="7" spans="1:15" x14ac:dyDescent="0.35">
      <c r="A7">
        <v>5</v>
      </c>
      <c r="B7">
        <v>320</v>
      </c>
      <c r="H7">
        <v>8</v>
      </c>
      <c r="I7">
        <v>5</v>
      </c>
      <c r="J7">
        <v>7</v>
      </c>
      <c r="K7" s="3">
        <f t="shared" si="0"/>
        <v>20</v>
      </c>
      <c r="L7">
        <f>B7*K7</f>
        <v>6400</v>
      </c>
      <c r="M7">
        <f t="shared" si="3"/>
        <v>52760</v>
      </c>
      <c r="N7">
        <f t="shared" si="1"/>
        <v>2048000</v>
      </c>
      <c r="O7">
        <f>$B7*$M7</f>
        <v>16883200</v>
      </c>
    </row>
    <row r="8" spans="1:15" x14ac:dyDescent="0.35">
      <c r="A8">
        <v>6</v>
      </c>
      <c r="B8">
        <v>325</v>
      </c>
      <c r="I8">
        <v>6</v>
      </c>
      <c r="J8">
        <v>6</v>
      </c>
      <c r="K8" s="3">
        <f t="shared" si="0"/>
        <v>12</v>
      </c>
      <c r="L8">
        <f t="shared" si="4"/>
        <v>3900</v>
      </c>
      <c r="M8">
        <f t="shared" si="3"/>
        <v>31920</v>
      </c>
      <c r="N8">
        <f t="shared" si="1"/>
        <v>1267500</v>
      </c>
      <c r="O8">
        <f t="shared" si="2"/>
        <v>10374000</v>
      </c>
    </row>
    <row r="9" spans="1:15" x14ac:dyDescent="0.35">
      <c r="A9" s="3">
        <v>7</v>
      </c>
      <c r="B9" s="3" t="s">
        <v>17</v>
      </c>
      <c r="C9" s="3">
        <f>SUM(C3:C8)</f>
        <v>5</v>
      </c>
      <c r="D9" s="3">
        <f t="shared" ref="D9:I9" si="5">SUM(D3:D8)</f>
        <v>5</v>
      </c>
      <c r="E9" s="3">
        <f t="shared" si="5"/>
        <v>12</v>
      </c>
      <c r="F9" s="3">
        <f t="shared" si="5"/>
        <v>22</v>
      </c>
      <c r="G9" s="3">
        <f t="shared" si="5"/>
        <v>20</v>
      </c>
      <c r="H9" s="3">
        <f t="shared" si="5"/>
        <v>12</v>
      </c>
      <c r="I9" s="3">
        <f t="shared" si="5"/>
        <v>11</v>
      </c>
      <c r="J9" s="3">
        <f>SUM(J3:J8)</f>
        <v>13</v>
      </c>
      <c r="K9" s="3">
        <f>(SUM(C9:J9)+SUM(K3:K8))/2</f>
        <v>100</v>
      </c>
      <c r="L9" s="4">
        <f>SUM(L3:L8)</f>
        <v>31330</v>
      </c>
      <c r="M9" s="4">
        <f>SUM(M3:M8)</f>
        <v>255680</v>
      </c>
      <c r="N9" s="4">
        <f>SUM(N3:N8)</f>
        <v>9821050</v>
      </c>
      <c r="O9" s="4">
        <f>SUM(O3:O8)</f>
        <v>80155000</v>
      </c>
    </row>
    <row r="10" spans="1:15" x14ac:dyDescent="0.35">
      <c r="A10">
        <v>8</v>
      </c>
      <c r="B10" t="s">
        <v>18</v>
      </c>
      <c r="C10">
        <f>C2*C9</f>
        <v>12000</v>
      </c>
      <c r="D10">
        <f>D2*D9</f>
        <v>12200</v>
      </c>
      <c r="E10">
        <f>E2*E9</f>
        <v>29760</v>
      </c>
      <c r="F10">
        <f t="shared" ref="D10:J10" si="6">F2*F9</f>
        <v>55440</v>
      </c>
      <c r="G10">
        <f t="shared" si="6"/>
        <v>51200</v>
      </c>
      <c r="H10">
        <f t="shared" si="6"/>
        <v>31200</v>
      </c>
      <c r="I10">
        <f t="shared" si="6"/>
        <v>29040</v>
      </c>
      <c r="J10">
        <f t="shared" si="6"/>
        <v>34840</v>
      </c>
      <c r="K10" s="4">
        <f>SUM(C10:J10)</f>
        <v>255680</v>
      </c>
    </row>
    <row r="11" spans="1:15" x14ac:dyDescent="0.35">
      <c r="A11">
        <v>9</v>
      </c>
      <c r="B11" t="s">
        <v>24</v>
      </c>
      <c r="C11">
        <f>C$3*$B$3+C$4*$B$4+C$5*$B$5+C$6*$B$6+C$7*$B$7+C$8*$B$8</f>
        <v>1500</v>
      </c>
      <c r="D11">
        <f>D$3*$B$3+D$4*$B$4+D$5*$B$5+D$6*$B$6+D$7*$B$7+D$8*$B$8</f>
        <v>1505</v>
      </c>
      <c r="E11">
        <f>E$3*$B$3+E$4*$B$4+E$5*$B$5+E$6*$B$6+E$7*$B$7+E$8*$B$8</f>
        <v>3685</v>
      </c>
      <c r="F11">
        <f>F$3*$B$3+F$4*$B$4+F$5*$B$5+F$6*$B$6+F$7*$B$7+F$8*$B$8</f>
        <v>6850</v>
      </c>
      <c r="G11">
        <f t="shared" ref="D11:I11" si="7">G$3*$B$3+G$4*$B$4+G$5*$B$5+G$6*$B$6+G$7*$B$7+G$8*$B$8</f>
        <v>6230</v>
      </c>
      <c r="H11">
        <f t="shared" si="7"/>
        <v>3820</v>
      </c>
      <c r="I11">
        <f t="shared" si="7"/>
        <v>3550</v>
      </c>
      <c r="J11">
        <f>J$3*$B$3+J$4*$B$4+J$5*$B$5+J$6*$B$6+J$7*$B$7+J$8*$B$8</f>
        <v>4190</v>
      </c>
      <c r="K11" s="4">
        <f>SUM(C11:J11)</f>
        <v>31330</v>
      </c>
    </row>
    <row r="12" spans="1:15" x14ac:dyDescent="0.35">
      <c r="A12">
        <v>10</v>
      </c>
      <c r="B12" t="s">
        <v>25</v>
      </c>
      <c r="C12">
        <f>C$2^2*C$9</f>
        <v>28800000</v>
      </c>
      <c r="D12">
        <f t="shared" ref="D12:J12" si="8">D$2^2*D$9</f>
        <v>29768000</v>
      </c>
      <c r="E12">
        <f>E$2^2*E$9</f>
        <v>73804800</v>
      </c>
      <c r="F12">
        <f t="shared" si="8"/>
        <v>139708800</v>
      </c>
      <c r="G12">
        <f t="shared" si="8"/>
        <v>131072000</v>
      </c>
      <c r="H12">
        <f>H$2^2*H$9</f>
        <v>81120000</v>
      </c>
      <c r="I12">
        <f t="shared" si="8"/>
        <v>76665600</v>
      </c>
      <c r="J12">
        <f>J$2^2*J$9</f>
        <v>93371200</v>
      </c>
      <c r="K12" s="4">
        <f>SUM(C12:J12)</f>
        <v>654310400</v>
      </c>
    </row>
    <row r="13" spans="1:15" x14ac:dyDescent="0.35">
      <c r="A13">
        <v>11</v>
      </c>
      <c r="B13" t="s">
        <v>26</v>
      </c>
      <c r="C13">
        <f>C$11*C$2</f>
        <v>3600000</v>
      </c>
      <c r="D13">
        <f t="shared" ref="D13:J13" si="9">D$11*D$2</f>
        <v>3672200</v>
      </c>
      <c r="E13">
        <f>E$11*E$2</f>
        <v>9138800</v>
      </c>
      <c r="F13">
        <f>F$11*F$2</f>
        <v>17262000</v>
      </c>
      <c r="G13">
        <f>G$11*G$2</f>
        <v>15948800</v>
      </c>
      <c r="H13">
        <f>H$11*H$2</f>
        <v>9932000</v>
      </c>
      <c r="I13">
        <f t="shared" si="9"/>
        <v>9372000</v>
      </c>
      <c r="J13">
        <f>J$11*J$2</f>
        <v>11229200</v>
      </c>
      <c r="K13" s="4">
        <f>SUM(C13:J13)</f>
        <v>80155000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2DEA8-3C80-405E-93CC-DCDBE7DF39CD}">
  <dimension ref="A1:B8"/>
  <sheetViews>
    <sheetView tabSelected="1" workbookViewId="0">
      <selection activeCell="A5" sqref="A5"/>
    </sheetView>
  </sheetViews>
  <sheetFormatPr defaultRowHeight="14.5" x14ac:dyDescent="0.35"/>
  <sheetData>
    <row r="1" spans="1:2" x14ac:dyDescent="0.35">
      <c r="A1" t="s">
        <v>28</v>
      </c>
      <c r="B1" t="s">
        <v>27</v>
      </c>
    </row>
    <row r="2" spans="1:2" x14ac:dyDescent="0.35">
      <c r="A2">
        <v>300</v>
      </c>
      <c r="B2">
        <f>9.4116*A2-391.85428</f>
        <v>2431.62572</v>
      </c>
    </row>
    <row r="3" spans="1:2" x14ac:dyDescent="0.35">
      <c r="A3">
        <v>295</v>
      </c>
      <c r="B3">
        <f t="shared" ref="B3:B8" si="0">9.4116*A3-391.85428</f>
        <v>2384.56772</v>
      </c>
    </row>
    <row r="4" spans="1:2" x14ac:dyDescent="0.35">
      <c r="A4">
        <v>325</v>
      </c>
      <c r="B4">
        <f t="shared" si="0"/>
        <v>2666.91572</v>
      </c>
    </row>
    <row r="5" spans="1:2" x14ac:dyDescent="0.35">
      <c r="B5">
        <f t="shared" si="0"/>
        <v>-391.85428000000002</v>
      </c>
    </row>
    <row r="6" spans="1:2" x14ac:dyDescent="0.35">
      <c r="B6">
        <f t="shared" si="0"/>
        <v>-391.85428000000002</v>
      </c>
    </row>
    <row r="7" spans="1:2" x14ac:dyDescent="0.35">
      <c r="B7">
        <f t="shared" si="0"/>
        <v>-391.85428000000002</v>
      </c>
    </row>
    <row r="8" spans="1:2" x14ac:dyDescent="0.35">
      <c r="B8">
        <f t="shared" si="0"/>
        <v>-391.85428000000002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ilya</cp:lastModifiedBy>
  <dcterms:created xsi:type="dcterms:W3CDTF">2023-05-12T20:21:27Z</dcterms:created>
  <dcterms:modified xsi:type="dcterms:W3CDTF">2023-05-13T18:10:39Z</dcterms:modified>
</cp:coreProperties>
</file>